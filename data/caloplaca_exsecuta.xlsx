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Borttagen p.g.a genetik</t>
      </text>
    </comment>
    <comment authorId="0" ref="A14">
      <text>
        <t xml:space="preserve">borttagen p.g.a avsnaknad av stor mängd morfologisk data</t>
      </text>
    </comment>
    <comment authorId="0" ref="A28">
      <text>
        <t xml:space="preserve">Borttagen p.g.a genetik</t>
      </text>
    </comment>
  </commentList>
</comments>
</file>

<file path=xl/sharedStrings.xml><?xml version="1.0" encoding="utf-8"?>
<sst xmlns="http://schemas.openxmlformats.org/spreadsheetml/2006/main" count="233" uniqueCount="180">
  <si>
    <t>Not used in analysis</t>
  </si>
  <si>
    <t>Invalid value</t>
  </si>
  <si>
    <t>Specimen</t>
  </si>
  <si>
    <t>Apothecium - Microscopic</t>
  </si>
  <si>
    <t>Apothecium - Macroscopic</t>
  </si>
  <si>
    <t>Thallus</t>
  </si>
  <si>
    <t>Other</t>
  </si>
  <si>
    <t>ID</t>
  </si>
  <si>
    <t>coordinates_north</t>
  </si>
  <si>
    <t>coordinates_east</t>
  </si>
  <si>
    <t>DNA</t>
  </si>
  <si>
    <t>clade</t>
  </si>
  <si>
    <t>hymenium_length</t>
  </si>
  <si>
    <t>hypothecium_length</t>
  </si>
  <si>
    <t>epihymenium_colour</t>
  </si>
  <si>
    <t>oil_drops</t>
  </si>
  <si>
    <t>paraphyse_branch_frequency</t>
  </si>
  <si>
    <t>paraphyse_top_width_min</t>
  </si>
  <si>
    <t>paraphyse_top_width_max</t>
  </si>
  <si>
    <t>excipulum_cell_width_min</t>
  </si>
  <si>
    <t>excipulum_cell_length_min</t>
  </si>
  <si>
    <t>excipulum_cell_width_max</t>
  </si>
  <si>
    <t>excipulum_cell_length_max</t>
  </si>
  <si>
    <t>spore_length_min</t>
  </si>
  <si>
    <t>spore_length_max</t>
  </si>
  <si>
    <t>spore_length_avg</t>
  </si>
  <si>
    <t>spore_width_min</t>
  </si>
  <si>
    <t>spore_width_max</t>
  </si>
  <si>
    <t>spore_width_avg</t>
  </si>
  <si>
    <t>septa_length_min</t>
  </si>
  <si>
    <t>septa_length_max</t>
  </si>
  <si>
    <t>septa_length_avg</t>
  </si>
  <si>
    <t>spore_amount_measured</t>
  </si>
  <si>
    <t>length_over_width</t>
  </si>
  <si>
    <t>septa_over_length</t>
  </si>
  <si>
    <t>asci_size_avg</t>
  </si>
  <si>
    <t>diamater_min</t>
  </si>
  <si>
    <t>diameter_max</t>
  </si>
  <si>
    <t>disc_max_convex</t>
  </si>
  <si>
    <t>placement</t>
  </si>
  <si>
    <t>amount</t>
  </si>
  <si>
    <t>form_regular</t>
  </si>
  <si>
    <t>form_aggregated</t>
  </si>
  <si>
    <t>thalline_exciple</t>
  </si>
  <si>
    <t>proper_exciple_width_min</t>
  </si>
  <si>
    <t>proper_exciple_width_max</t>
  </si>
  <si>
    <t>proper_exciple_flattened</t>
  </si>
  <si>
    <t>pruina</t>
  </si>
  <si>
    <t>coherency</t>
  </si>
  <si>
    <t>areole_crack_regularity</t>
  </si>
  <si>
    <t>areole_thickness_regularity</t>
  </si>
  <si>
    <t>partially_thin_or_immersed</t>
  </si>
  <si>
    <t>thallus_size</t>
  </si>
  <si>
    <t>areole_diamater_min</t>
  </si>
  <si>
    <t>areole_diamater_max</t>
  </si>
  <si>
    <t>thallus_thickness_min</t>
  </si>
  <si>
    <t>thallus_thickness_max</t>
  </si>
  <si>
    <t>colour</t>
  </si>
  <si>
    <t>cyanobacteria</t>
  </si>
  <si>
    <t>prothallus</t>
  </si>
  <si>
    <t>soralia</t>
  </si>
  <si>
    <t>isidia</t>
  </si>
  <si>
    <t>pycnidium</t>
  </si>
  <si>
    <t>conidiophores</t>
  </si>
  <si>
    <t>hypothecium_pale</t>
  </si>
  <si>
    <t>parasitised</t>
  </si>
  <si>
    <t>L11488</t>
  </si>
  <si>
    <t>7414401</t>
  </si>
  <si>
    <t>1583977</t>
  </si>
  <si>
    <t>gul/orange</t>
  </si>
  <si>
    <t>svagt-ej pruinös</t>
  </si>
  <si>
    <t>L20483</t>
  </si>
  <si>
    <t>7473233</t>
  </si>
  <si>
    <t>1528298</t>
  </si>
  <si>
    <t>U3472</t>
  </si>
  <si>
    <t>gul-orange/blåsvart grön</t>
  </si>
  <si>
    <t>svagt pruinös</t>
  </si>
  <si>
    <t>L03398</t>
  </si>
  <si>
    <t>7328530</t>
  </si>
  <si>
    <t>1455450</t>
  </si>
  <si>
    <t>gulbrun/blåsvart grön</t>
  </si>
  <si>
    <t>pruinös</t>
  </si>
  <si>
    <t>L03557</t>
  </si>
  <si>
    <t>7327440</t>
  </si>
  <si>
    <t>1459510</t>
  </si>
  <si>
    <t>E7</t>
  </si>
  <si>
    <t>Gul + blåsvart m. grönt inslag</t>
  </si>
  <si>
    <t>lätt pruinös</t>
  </si>
  <si>
    <t>L24109</t>
  </si>
  <si>
    <t>7165631</t>
  </si>
  <si>
    <t>1397060</t>
  </si>
  <si>
    <t>A1</t>
  </si>
  <si>
    <t>Gul</t>
  </si>
  <si>
    <t>L03400</t>
  </si>
  <si>
    <t>7329100</t>
  </si>
  <si>
    <t>1453870</t>
  </si>
  <si>
    <t>Gul/orange</t>
  </si>
  <si>
    <t>L17072</t>
  </si>
  <si>
    <t>7591365</t>
  </si>
  <si>
    <t>1641220</t>
  </si>
  <si>
    <t>L04230</t>
  </si>
  <si>
    <t>7469927</t>
  </si>
  <si>
    <t>1538776</t>
  </si>
  <si>
    <t>U1930</t>
  </si>
  <si>
    <t>svagt-mycket starkt pruinös</t>
  </si>
  <si>
    <t>L08305</t>
  </si>
  <si>
    <t>U932</t>
  </si>
  <si>
    <t>7507166</t>
  </si>
  <si>
    <t>1534165</t>
  </si>
  <si>
    <t>A5</t>
  </si>
  <si>
    <t>L03389</t>
  </si>
  <si>
    <t>7407630</t>
  </si>
  <si>
    <t>1502640</t>
  </si>
  <si>
    <t>L02347</t>
  </si>
  <si>
    <t>U1259</t>
  </si>
  <si>
    <t>L03384</t>
  </si>
  <si>
    <t>7407190</t>
  </si>
  <si>
    <t>1502810</t>
  </si>
  <si>
    <t>L03367</t>
  </si>
  <si>
    <t>7297030</t>
  </si>
  <si>
    <t>1467000</t>
  </si>
  <si>
    <t>L03368</t>
  </si>
  <si>
    <t>7296810</t>
  </si>
  <si>
    <t>1466940</t>
  </si>
  <si>
    <t>L03556</t>
  </si>
  <si>
    <t>7407560</t>
  </si>
  <si>
    <t>1502630</t>
  </si>
  <si>
    <t>E6</t>
  </si>
  <si>
    <t>L04086</t>
  </si>
  <si>
    <t>7460286</t>
  </si>
  <si>
    <t>1536638</t>
  </si>
  <si>
    <t>U1258</t>
  </si>
  <si>
    <t>07-80</t>
  </si>
  <si>
    <t>U1254</t>
  </si>
  <si>
    <t>L11062</t>
  </si>
  <si>
    <t>7665838</t>
  </si>
  <si>
    <t>1677643</t>
  </si>
  <si>
    <t>L03413</t>
  </si>
  <si>
    <t>7217200</t>
  </si>
  <si>
    <t>1433640</t>
  </si>
  <si>
    <t>L22236</t>
  </si>
  <si>
    <t>7478786</t>
  </si>
  <si>
    <t>1552662</t>
  </si>
  <si>
    <t>A10</t>
  </si>
  <si>
    <t>L20167</t>
  </si>
  <si>
    <t>7472370</t>
  </si>
  <si>
    <t>1527534</t>
  </si>
  <si>
    <t>A2</t>
  </si>
  <si>
    <t>L03399</t>
  </si>
  <si>
    <t>U1281</t>
  </si>
  <si>
    <t>tätt pruinös</t>
  </si>
  <si>
    <t>L20494</t>
  </si>
  <si>
    <t>7473417</t>
  </si>
  <si>
    <t>1528173</t>
  </si>
  <si>
    <t>A6</t>
  </si>
  <si>
    <t>L02350</t>
  </si>
  <si>
    <t>U1260</t>
  </si>
  <si>
    <t>L04064</t>
  </si>
  <si>
    <t>7466018</t>
  </si>
  <si>
    <t>1538552</t>
  </si>
  <si>
    <t>U1257</t>
  </si>
  <si>
    <t>L03388</t>
  </si>
  <si>
    <t>L20302</t>
  </si>
  <si>
    <t>7472150</t>
  </si>
  <si>
    <t>1527518</t>
  </si>
  <si>
    <t>A7</t>
  </si>
  <si>
    <t>L17164</t>
  </si>
  <si>
    <t>7591410</t>
  </si>
  <si>
    <t>1641185</t>
  </si>
  <si>
    <t>U2739</t>
  </si>
  <si>
    <t>59,24038</t>
  </si>
  <si>
    <t>154,76293</t>
  </si>
  <si>
    <t>U1846</t>
  </si>
  <si>
    <t>ej pruinös</t>
  </si>
  <si>
    <t>10290d</t>
  </si>
  <si>
    <t>62,01</t>
  </si>
  <si>
    <t>58,09</t>
  </si>
  <si>
    <t>U1645</t>
  </si>
  <si>
    <t>U4113</t>
  </si>
  <si>
    <t>Gul/orange + blågrönt svart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</si>
</sst>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rgb="FF222222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readingOrder="0" vertical="bottom"/>
    </xf>
    <xf borderId="0" fillId="8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3" numFmtId="49" xfId="0" applyAlignment="1" applyFont="1" applyNumberFormat="1">
      <alignment horizontal="lef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3" fontId="3" numFmtId="49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3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2" width="17.63"/>
    <col customWidth="1" min="3" max="3" width="14.5"/>
    <col customWidth="1" min="4" max="4" width="23.13"/>
    <col customWidth="1" min="6" max="6" width="15.88"/>
    <col customWidth="1" min="7" max="7" width="16.13"/>
    <col customWidth="1" min="8" max="8" width="24.25"/>
    <col customWidth="1" min="9" max="9" width="21.38"/>
    <col customWidth="1" min="10" max="10" width="24.38"/>
    <col customWidth="1" min="11" max="11" width="24.0"/>
    <col customWidth="1" min="12" max="12" width="25.25"/>
    <col customWidth="1" min="13" max="13" width="22.63"/>
    <col customWidth="1" min="14" max="14" width="23.0"/>
    <col customWidth="1" min="15" max="15" width="22.88"/>
    <col customWidth="1" min="16" max="16" width="24.63"/>
    <col customWidth="1" min="17" max="17" width="17.38"/>
    <col customWidth="1" min="18" max="18" width="16.88"/>
    <col customWidth="1" min="19" max="19" width="17.38"/>
    <col customWidth="1" min="20" max="20" width="24.63"/>
    <col customWidth="1" min="21" max="21" width="18.0"/>
    <col customWidth="1" min="22" max="22" width="18.88"/>
    <col customWidth="1" min="23" max="25" width="19.13"/>
    <col customWidth="1" min="26" max="26" width="24.63"/>
    <col customWidth="1" min="27" max="27" width="22.63"/>
    <col customWidth="1" min="28" max="28" width="20.88"/>
    <col customWidth="1" min="29" max="29" width="17.25"/>
    <col customWidth="1" min="30" max="30" width="19.0"/>
    <col customWidth="1" min="31" max="31" width="24.5"/>
    <col customWidth="1" min="32" max="32" width="19.63"/>
    <col customWidth="1" min="33" max="33" width="10.63"/>
    <col customWidth="1" min="36" max="36" width="14.88"/>
    <col customWidth="1" min="38" max="38" width="22.63"/>
    <col customWidth="1" min="39" max="41" width="24.38"/>
    <col customWidth="1" min="43" max="43" width="22.38"/>
    <col customWidth="1" min="44" max="45" width="22.63"/>
    <col customWidth="1" min="46" max="46" width="17.13"/>
    <col customWidth="1" min="47" max="47" width="17.88"/>
    <col customWidth="1" min="48" max="48" width="16.88"/>
    <col customWidth="1" min="49" max="49" width="22.25"/>
    <col customWidth="1" min="50" max="50" width="18.0"/>
    <col customWidth="1" min="52" max="52" width="15.13"/>
    <col customWidth="1" min="57" max="57" width="16.75"/>
    <col customWidth="1" min="58" max="58" width="19.88"/>
    <col customWidth="1" min="59" max="59" width="22.75"/>
    <col customWidth="1" min="60" max="60" width="18.13"/>
    <col customWidth="1" min="61" max="61" width="23.0"/>
  </cols>
  <sheetData>
    <row r="1">
      <c r="BH1" s="1"/>
      <c r="BI1" s="1"/>
      <c r="BJ1" s="1"/>
      <c r="BK1" s="1"/>
      <c r="BL1" s="1"/>
      <c r="BM1" s="1"/>
      <c r="BN1" s="1"/>
      <c r="BO1" s="1"/>
      <c r="BP1" s="1"/>
    </row>
    <row r="2">
      <c r="A2" s="2" t="s">
        <v>0</v>
      </c>
      <c r="BQ2" s="1"/>
    </row>
    <row r="3">
      <c r="A3" s="3" t="s">
        <v>1</v>
      </c>
    </row>
    <row r="5">
      <c r="A5" s="4" t="s">
        <v>2</v>
      </c>
      <c r="B5" s="4"/>
      <c r="C5" s="4"/>
      <c r="D5" s="5"/>
      <c r="E5" s="5"/>
      <c r="F5" s="6" t="s">
        <v>3</v>
      </c>
      <c r="AD5" s="7" t="s">
        <v>4</v>
      </c>
      <c r="AP5" s="8" t="s">
        <v>5</v>
      </c>
      <c r="BF5" s="9" t="s">
        <v>6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0" t="s">
        <v>12</v>
      </c>
      <c r="G6" s="10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28</v>
      </c>
      <c r="W6" s="1" t="s">
        <v>29</v>
      </c>
      <c r="X6" s="1" t="s">
        <v>30</v>
      </c>
      <c r="Y6" s="1" t="s">
        <v>31</v>
      </c>
      <c r="Z6" s="1" t="s">
        <v>32</v>
      </c>
      <c r="AA6" s="1" t="s">
        <v>33</v>
      </c>
      <c r="AB6" s="1" t="s">
        <v>34</v>
      </c>
      <c r="AC6" s="1" t="s">
        <v>35</v>
      </c>
      <c r="AD6" s="11" t="s">
        <v>36</v>
      </c>
      <c r="AE6" s="11" t="s">
        <v>37</v>
      </c>
      <c r="AF6" s="11" t="s">
        <v>38</v>
      </c>
      <c r="AG6" s="10" t="s">
        <v>39</v>
      </c>
      <c r="AH6" s="10" t="s">
        <v>40</v>
      </c>
      <c r="AI6" s="11" t="s">
        <v>41</v>
      </c>
      <c r="AJ6" s="11" t="s">
        <v>42</v>
      </c>
      <c r="AK6" s="10" t="s">
        <v>43</v>
      </c>
      <c r="AL6" s="11" t="s">
        <v>44</v>
      </c>
      <c r="AM6" s="11" t="s">
        <v>45</v>
      </c>
      <c r="AN6" s="11" t="s">
        <v>46</v>
      </c>
      <c r="AO6" s="11" t="s">
        <v>47</v>
      </c>
      <c r="AP6" s="11" t="s">
        <v>48</v>
      </c>
      <c r="AQ6" s="11" t="s">
        <v>49</v>
      </c>
      <c r="AR6" s="11" t="s">
        <v>50</v>
      </c>
      <c r="AS6" s="11" t="s">
        <v>51</v>
      </c>
      <c r="AT6" s="11" t="s">
        <v>52</v>
      </c>
      <c r="AU6" s="10" t="s">
        <v>53</v>
      </c>
      <c r="AV6" s="10" t="s">
        <v>54</v>
      </c>
      <c r="AW6" s="10" t="s">
        <v>55</v>
      </c>
      <c r="AX6" s="10" t="s">
        <v>56</v>
      </c>
      <c r="AY6" s="10" t="s">
        <v>57</v>
      </c>
      <c r="AZ6" s="11" t="s">
        <v>58</v>
      </c>
      <c r="BA6" s="10" t="s">
        <v>59</v>
      </c>
      <c r="BB6" s="10" t="s">
        <v>60</v>
      </c>
      <c r="BC6" s="10" t="s">
        <v>61</v>
      </c>
      <c r="BD6" s="10" t="s">
        <v>62</v>
      </c>
      <c r="BE6" s="10" t="s">
        <v>63</v>
      </c>
      <c r="BF6" s="1" t="s">
        <v>64</v>
      </c>
      <c r="BG6" s="1" t="s">
        <v>65</v>
      </c>
    </row>
    <row r="7">
      <c r="A7" s="12" t="s">
        <v>66</v>
      </c>
      <c r="B7" s="13" t="s">
        <v>67</v>
      </c>
      <c r="C7" s="13" t="s">
        <v>68</v>
      </c>
      <c r="D7" s="12"/>
      <c r="E7" s="12"/>
      <c r="F7" s="14">
        <v>75.0</v>
      </c>
      <c r="G7" s="14">
        <v>75.0</v>
      </c>
      <c r="H7" s="1" t="s">
        <v>69</v>
      </c>
      <c r="I7" s="1" t="b">
        <v>0</v>
      </c>
      <c r="J7" s="1">
        <v>1.0</v>
      </c>
      <c r="K7" s="1">
        <v>1.5</v>
      </c>
      <c r="L7" s="1">
        <v>3.0</v>
      </c>
      <c r="M7" s="1">
        <v>1.0</v>
      </c>
      <c r="N7" s="1">
        <v>1.0</v>
      </c>
      <c r="O7" s="1">
        <v>5.0</v>
      </c>
      <c r="P7" s="1">
        <v>5.0</v>
      </c>
      <c r="Q7" s="1">
        <v>9.0</v>
      </c>
      <c r="R7" s="1">
        <v>11.0</v>
      </c>
      <c r="S7" s="1">
        <v>9.5</v>
      </c>
      <c r="T7" s="1">
        <v>5.0</v>
      </c>
      <c r="U7" s="1">
        <v>6.0</v>
      </c>
      <c r="V7" s="1">
        <v>5.625</v>
      </c>
      <c r="W7" s="1">
        <v>1.5</v>
      </c>
      <c r="X7" s="1">
        <v>2.75</v>
      </c>
      <c r="Y7" s="1">
        <v>2.1</v>
      </c>
      <c r="Z7" s="1">
        <v>10.0</v>
      </c>
      <c r="AA7" s="15">
        <f t="shared" ref="AA7:AA17" si="1">ROUND(sum(S7/V7), 2)</f>
        <v>1.69</v>
      </c>
      <c r="AB7" s="1">
        <f t="shared" ref="AB7:AB17" si="2">ROUND(SUM(Y7/S7), 2)</f>
        <v>0.22</v>
      </c>
      <c r="AD7" s="14">
        <v>0.18</v>
      </c>
      <c r="AE7" s="14">
        <v>0.36</v>
      </c>
      <c r="AF7" s="11">
        <v>1.0</v>
      </c>
      <c r="AG7" s="14">
        <v>2.0</v>
      </c>
      <c r="AH7" s="14">
        <v>1.0</v>
      </c>
      <c r="AI7" s="11" t="b">
        <v>1</v>
      </c>
      <c r="AJ7" s="11" t="b">
        <v>0</v>
      </c>
      <c r="AK7" s="16" t="b">
        <v>0</v>
      </c>
      <c r="AL7" s="11">
        <v>0.036</v>
      </c>
      <c r="AM7" s="11">
        <v>0.071</v>
      </c>
      <c r="AN7" s="11" t="b">
        <v>0</v>
      </c>
      <c r="AO7" s="17" t="s">
        <v>70</v>
      </c>
      <c r="AP7" s="11" t="b">
        <v>1</v>
      </c>
      <c r="AQ7" s="11" t="b">
        <v>0</v>
      </c>
      <c r="AR7" s="1">
        <v>3.0</v>
      </c>
      <c r="AS7" s="1" t="b">
        <v>1</v>
      </c>
      <c r="AT7" s="14">
        <v>22.5</v>
      </c>
      <c r="AU7" s="10"/>
      <c r="AV7" s="10"/>
      <c r="AW7" s="14">
        <v>0.05</v>
      </c>
      <c r="AX7" s="14">
        <v>0.18</v>
      </c>
      <c r="AY7" s="11">
        <v>2.0</v>
      </c>
      <c r="AZ7" s="11" t="b">
        <v>0</v>
      </c>
      <c r="BA7" s="11" t="b">
        <v>0</v>
      </c>
      <c r="BB7" s="16" t="b">
        <v>0</v>
      </c>
      <c r="BC7" s="16" t="b">
        <v>0</v>
      </c>
      <c r="BD7" s="16" t="b">
        <v>0</v>
      </c>
      <c r="BE7" s="16" t="b">
        <v>0</v>
      </c>
      <c r="BF7" s="1" t="b">
        <v>0</v>
      </c>
      <c r="BG7" s="1" t="b">
        <v>0</v>
      </c>
    </row>
    <row r="8">
      <c r="A8" s="18" t="s">
        <v>71</v>
      </c>
      <c r="B8" s="19" t="s">
        <v>72</v>
      </c>
      <c r="C8" s="19" t="s">
        <v>73</v>
      </c>
      <c r="D8" s="12" t="s">
        <v>74</v>
      </c>
      <c r="E8" s="12"/>
      <c r="F8" s="14">
        <v>70.0</v>
      </c>
      <c r="G8" s="14">
        <v>105.0</v>
      </c>
      <c r="H8" s="1" t="s">
        <v>75</v>
      </c>
      <c r="I8" s="1" t="b">
        <v>0</v>
      </c>
      <c r="J8" s="1">
        <v>1.0</v>
      </c>
      <c r="K8" s="1">
        <v>1.5</v>
      </c>
      <c r="L8" s="1">
        <v>4.5</v>
      </c>
      <c r="M8" s="1">
        <v>1.0</v>
      </c>
      <c r="N8" s="1">
        <v>1.0</v>
      </c>
      <c r="O8" s="1">
        <v>5.0</v>
      </c>
      <c r="P8" s="1">
        <v>6.0</v>
      </c>
      <c r="Q8" s="1">
        <v>11.0</v>
      </c>
      <c r="R8" s="1">
        <v>13.0</v>
      </c>
      <c r="S8" s="1">
        <v>12.25</v>
      </c>
      <c r="T8" s="1">
        <v>5.25</v>
      </c>
      <c r="U8" s="1">
        <v>6.0</v>
      </c>
      <c r="V8" s="1">
        <v>6.1</v>
      </c>
      <c r="W8" s="1">
        <v>3.0</v>
      </c>
      <c r="X8" s="1">
        <v>4.0</v>
      </c>
      <c r="Y8" s="1">
        <v>3.775</v>
      </c>
      <c r="Z8" s="1">
        <v>10.0</v>
      </c>
      <c r="AA8" s="15">
        <f t="shared" si="1"/>
        <v>2.01</v>
      </c>
      <c r="AB8" s="1">
        <f t="shared" si="2"/>
        <v>0.31</v>
      </c>
      <c r="AD8" s="14">
        <v>0.18</v>
      </c>
      <c r="AE8" s="14">
        <v>0.97</v>
      </c>
      <c r="AF8" s="11">
        <v>2.0</v>
      </c>
      <c r="AG8" s="14">
        <v>2.0</v>
      </c>
      <c r="AH8" s="14">
        <v>5.0</v>
      </c>
      <c r="AI8" s="11" t="b">
        <v>1</v>
      </c>
      <c r="AJ8" s="11" t="b">
        <v>1</v>
      </c>
      <c r="AK8" s="16" t="b">
        <v>0</v>
      </c>
      <c r="AL8" s="11">
        <v>0.012</v>
      </c>
      <c r="AM8" s="11">
        <v>0.095</v>
      </c>
      <c r="AN8" s="11" t="b">
        <v>1</v>
      </c>
      <c r="AO8" s="17" t="s">
        <v>76</v>
      </c>
      <c r="AP8" s="11" t="b">
        <v>0</v>
      </c>
      <c r="AQ8" s="11" t="b">
        <v>0</v>
      </c>
      <c r="AR8" s="1">
        <v>1.0</v>
      </c>
      <c r="AS8" s="1" t="b">
        <v>1</v>
      </c>
      <c r="AT8" s="14">
        <v>30.0</v>
      </c>
      <c r="AU8" s="14">
        <v>0.14</v>
      </c>
      <c r="AV8" s="14">
        <v>2.44</v>
      </c>
      <c r="AW8" s="14">
        <v>0.001</v>
      </c>
      <c r="AX8" s="14">
        <v>0.97</v>
      </c>
      <c r="AY8" s="11">
        <v>1.0</v>
      </c>
      <c r="AZ8" s="11" t="b">
        <v>0</v>
      </c>
      <c r="BA8" s="11" t="b">
        <v>0</v>
      </c>
      <c r="BB8" s="16" t="b">
        <v>0</v>
      </c>
      <c r="BC8" s="16" t="b">
        <v>0</v>
      </c>
      <c r="BD8" s="16" t="b">
        <v>0</v>
      </c>
      <c r="BE8" s="16" t="b">
        <v>0</v>
      </c>
      <c r="BF8" s="1" t="b">
        <v>0</v>
      </c>
      <c r="BG8" s="1" t="b">
        <v>1</v>
      </c>
    </row>
    <row r="9">
      <c r="A9" s="12" t="s">
        <v>77</v>
      </c>
      <c r="B9" s="19" t="s">
        <v>78</v>
      </c>
      <c r="C9" s="19" t="s">
        <v>79</v>
      </c>
      <c r="D9" s="12"/>
      <c r="E9" s="12"/>
      <c r="F9" s="14">
        <v>80.0</v>
      </c>
      <c r="G9" s="14">
        <v>82.5</v>
      </c>
      <c r="H9" s="1" t="s">
        <v>80</v>
      </c>
      <c r="I9" s="1" t="b">
        <v>0</v>
      </c>
      <c r="J9" s="1">
        <v>1.0</v>
      </c>
      <c r="K9" s="1">
        <v>1.0</v>
      </c>
      <c r="L9" s="1">
        <v>4.0</v>
      </c>
      <c r="M9" s="1">
        <v>1.0</v>
      </c>
      <c r="N9" s="1">
        <v>1.0</v>
      </c>
      <c r="O9" s="1">
        <v>6.0</v>
      </c>
      <c r="P9" s="1">
        <v>6.0</v>
      </c>
      <c r="Q9" s="1">
        <v>10.0</v>
      </c>
      <c r="R9" s="1">
        <v>12.0</v>
      </c>
      <c r="S9" s="1">
        <v>10.9</v>
      </c>
      <c r="T9" s="1">
        <v>5.0</v>
      </c>
      <c r="U9" s="1">
        <v>7.0</v>
      </c>
      <c r="V9" s="1">
        <v>5.65</v>
      </c>
      <c r="W9" s="1">
        <v>2.5</v>
      </c>
      <c r="X9" s="1">
        <v>3.75</v>
      </c>
      <c r="Y9" s="1">
        <v>3.275</v>
      </c>
      <c r="Z9" s="1">
        <v>10.0</v>
      </c>
      <c r="AA9" s="15">
        <f t="shared" si="1"/>
        <v>1.93</v>
      </c>
      <c r="AB9" s="1">
        <f t="shared" si="2"/>
        <v>0.3</v>
      </c>
      <c r="AD9" s="14">
        <v>0.24</v>
      </c>
      <c r="AE9" s="14">
        <v>0.65</v>
      </c>
      <c r="AF9" s="11">
        <v>2.0</v>
      </c>
      <c r="AG9" s="14">
        <v>2.0</v>
      </c>
      <c r="AH9" s="14">
        <v>4.0</v>
      </c>
      <c r="AI9" s="11" t="b">
        <v>1</v>
      </c>
      <c r="AJ9" s="11" t="b">
        <v>1</v>
      </c>
      <c r="AK9" s="16" t="b">
        <v>0</v>
      </c>
      <c r="AL9" s="11">
        <v>0.024</v>
      </c>
      <c r="AM9" s="11">
        <v>0.071</v>
      </c>
      <c r="AN9" s="11" t="b">
        <v>1</v>
      </c>
      <c r="AO9" s="17" t="s">
        <v>81</v>
      </c>
      <c r="AP9" s="11" t="b">
        <v>1</v>
      </c>
      <c r="AQ9" s="11" t="b">
        <v>0</v>
      </c>
      <c r="AR9" s="1">
        <v>1.0</v>
      </c>
      <c r="AS9" s="1" t="b">
        <v>0</v>
      </c>
      <c r="AT9" s="14">
        <v>15.0</v>
      </c>
      <c r="AU9" s="14">
        <v>0.18</v>
      </c>
      <c r="AV9" s="14">
        <v>1.83</v>
      </c>
      <c r="AW9" s="14">
        <v>0.14</v>
      </c>
      <c r="AX9" s="14">
        <v>1.09</v>
      </c>
      <c r="AY9" s="11">
        <v>1.0</v>
      </c>
      <c r="AZ9" s="11" t="b">
        <v>0</v>
      </c>
      <c r="BA9" s="11" t="b">
        <v>0</v>
      </c>
      <c r="BB9" s="16" t="b">
        <v>0</v>
      </c>
      <c r="BC9" s="16" t="b">
        <v>0</v>
      </c>
      <c r="BD9" s="16" t="b">
        <v>0</v>
      </c>
      <c r="BE9" s="16" t="b">
        <v>0</v>
      </c>
      <c r="BF9" s="1" t="b">
        <v>0</v>
      </c>
      <c r="BG9" s="1" t="b">
        <v>0</v>
      </c>
    </row>
    <row r="10">
      <c r="A10" s="12" t="s">
        <v>82</v>
      </c>
      <c r="B10" s="19" t="s">
        <v>83</v>
      </c>
      <c r="C10" s="19" t="s">
        <v>84</v>
      </c>
      <c r="D10" s="12" t="s">
        <v>85</v>
      </c>
      <c r="E10" s="12">
        <v>3.0</v>
      </c>
      <c r="F10" s="14">
        <v>57.5</v>
      </c>
      <c r="G10" s="14">
        <v>100.0</v>
      </c>
      <c r="H10" s="1" t="s">
        <v>86</v>
      </c>
      <c r="I10" s="1" t="b">
        <v>0</v>
      </c>
      <c r="J10" s="1">
        <v>1.0</v>
      </c>
      <c r="K10" s="1">
        <v>1.5</v>
      </c>
      <c r="L10" s="1">
        <v>3.5</v>
      </c>
      <c r="M10" s="1">
        <v>1.0</v>
      </c>
      <c r="N10" s="1">
        <v>1.0</v>
      </c>
      <c r="O10" s="1">
        <v>5.0</v>
      </c>
      <c r="P10" s="1">
        <v>5.0</v>
      </c>
      <c r="Q10" s="1">
        <v>10.0</v>
      </c>
      <c r="R10" s="1">
        <v>12.5</v>
      </c>
      <c r="S10" s="1">
        <v>11.55</v>
      </c>
      <c r="T10" s="1">
        <v>5.0</v>
      </c>
      <c r="U10" s="1">
        <v>6.5</v>
      </c>
      <c r="V10" s="1">
        <v>5.5</v>
      </c>
      <c r="W10" s="1">
        <v>3.0</v>
      </c>
      <c r="X10" s="1">
        <v>4.0</v>
      </c>
      <c r="Y10" s="1">
        <v>3.275</v>
      </c>
      <c r="Z10" s="1">
        <v>10.0</v>
      </c>
      <c r="AA10" s="15">
        <f t="shared" si="1"/>
        <v>2.1</v>
      </c>
      <c r="AB10" s="1">
        <f t="shared" si="2"/>
        <v>0.28</v>
      </c>
      <c r="AD10" s="14">
        <v>0.12</v>
      </c>
      <c r="AE10" s="14">
        <v>0.61</v>
      </c>
      <c r="AF10" s="11">
        <v>1.0</v>
      </c>
      <c r="AG10" s="14">
        <v>2.0</v>
      </c>
      <c r="AH10" s="14">
        <v>5.0</v>
      </c>
      <c r="AI10" s="11" t="b">
        <v>1</v>
      </c>
      <c r="AJ10" s="11" t="b">
        <v>0</v>
      </c>
      <c r="AK10" s="16" t="b">
        <v>0</v>
      </c>
      <c r="AL10" s="11">
        <v>0.024</v>
      </c>
      <c r="AM10" s="11">
        <v>0.071</v>
      </c>
      <c r="AN10" s="11" t="b">
        <v>1</v>
      </c>
      <c r="AO10" s="17" t="s">
        <v>87</v>
      </c>
      <c r="AP10" s="11" t="b">
        <v>1</v>
      </c>
      <c r="AQ10" s="11" t="b">
        <v>0</v>
      </c>
      <c r="AR10" s="1">
        <v>3.0</v>
      </c>
      <c r="AS10" s="1" t="b">
        <v>0</v>
      </c>
      <c r="AT10" s="14">
        <v>40.0</v>
      </c>
      <c r="AU10" s="14">
        <v>0.1</v>
      </c>
      <c r="AV10" s="14">
        <v>0.67</v>
      </c>
      <c r="AW10" s="14">
        <v>0.048</v>
      </c>
      <c r="AX10" s="14">
        <v>0.36</v>
      </c>
      <c r="AY10" s="11">
        <v>2.0</v>
      </c>
      <c r="AZ10" s="11" t="b">
        <v>0</v>
      </c>
      <c r="BA10" s="11" t="b">
        <v>0</v>
      </c>
      <c r="BB10" s="16" t="b">
        <v>0</v>
      </c>
      <c r="BC10" s="16" t="b">
        <v>0</v>
      </c>
      <c r="BD10" s="16" t="b">
        <v>0</v>
      </c>
      <c r="BE10" s="16" t="b">
        <v>0</v>
      </c>
      <c r="BF10" s="1" t="b">
        <v>0</v>
      </c>
      <c r="BG10" s="1" t="b">
        <v>0</v>
      </c>
    </row>
    <row r="11">
      <c r="A11" s="12" t="s">
        <v>88</v>
      </c>
      <c r="B11" s="19" t="s">
        <v>89</v>
      </c>
      <c r="C11" s="19" t="s">
        <v>90</v>
      </c>
      <c r="D11" s="12" t="s">
        <v>91</v>
      </c>
      <c r="E11" s="12">
        <v>3.0</v>
      </c>
      <c r="F11" s="14">
        <v>52.5</v>
      </c>
      <c r="G11" s="14">
        <v>47.5</v>
      </c>
      <c r="H11" s="1" t="s">
        <v>92</v>
      </c>
      <c r="I11" s="1" t="b">
        <v>0</v>
      </c>
      <c r="J11" s="1">
        <v>3.0</v>
      </c>
      <c r="K11" s="1">
        <v>2.0</v>
      </c>
      <c r="L11" s="1">
        <v>3.0</v>
      </c>
      <c r="M11" s="1">
        <v>1.0</v>
      </c>
      <c r="N11" s="1">
        <v>1.0</v>
      </c>
      <c r="O11" s="1">
        <v>4.0</v>
      </c>
      <c r="P11" s="1">
        <v>8.0</v>
      </c>
      <c r="Q11" s="1">
        <v>10.0</v>
      </c>
      <c r="R11" s="1">
        <v>13.0</v>
      </c>
      <c r="S11" s="1">
        <v>11.15</v>
      </c>
      <c r="T11" s="1">
        <v>4.5</v>
      </c>
      <c r="U11" s="1">
        <v>6.0</v>
      </c>
      <c r="V11" s="1">
        <v>5.4</v>
      </c>
      <c r="W11" s="1">
        <v>2.5</v>
      </c>
      <c r="X11" s="1">
        <v>4.0</v>
      </c>
      <c r="Y11" s="1">
        <v>3.2</v>
      </c>
      <c r="Z11" s="1">
        <v>10.0</v>
      </c>
      <c r="AA11" s="15">
        <f t="shared" si="1"/>
        <v>2.06</v>
      </c>
      <c r="AB11" s="1">
        <f t="shared" si="2"/>
        <v>0.29</v>
      </c>
      <c r="AD11" s="14">
        <v>0.18</v>
      </c>
      <c r="AE11" s="14">
        <v>0.6</v>
      </c>
      <c r="AF11" s="11">
        <v>2.0</v>
      </c>
      <c r="AG11" s="14">
        <v>2.0</v>
      </c>
      <c r="AH11" s="14">
        <v>4.0</v>
      </c>
      <c r="AI11" s="11" t="b">
        <v>1</v>
      </c>
      <c r="AJ11" s="11" t="b">
        <v>0</v>
      </c>
      <c r="AK11" s="16" t="b">
        <v>0</v>
      </c>
      <c r="AL11" s="11">
        <v>0.024</v>
      </c>
      <c r="AM11" s="11">
        <v>0.071</v>
      </c>
      <c r="AN11" s="11" t="b">
        <v>0</v>
      </c>
      <c r="AO11" s="17" t="s">
        <v>87</v>
      </c>
      <c r="AP11" s="11" t="b">
        <v>0</v>
      </c>
      <c r="AQ11" s="11" t="b">
        <v>0</v>
      </c>
      <c r="AR11" s="1">
        <v>2.0</v>
      </c>
      <c r="AS11" s="1" t="b">
        <v>1</v>
      </c>
      <c r="AT11" s="14">
        <v>13.0</v>
      </c>
      <c r="AU11" s="14">
        <v>0.16</v>
      </c>
      <c r="AV11" s="14">
        <v>0.61</v>
      </c>
      <c r="AW11" s="14">
        <v>0.0</v>
      </c>
      <c r="AX11" s="14">
        <v>0.381</v>
      </c>
      <c r="AY11" s="11">
        <v>1.0</v>
      </c>
      <c r="AZ11" s="11" t="b">
        <v>1</v>
      </c>
      <c r="BA11" s="11" t="b">
        <v>0</v>
      </c>
      <c r="BB11" s="16" t="b">
        <v>0</v>
      </c>
      <c r="BC11" s="16" t="b">
        <v>0</v>
      </c>
      <c r="BD11" s="16" t="b">
        <v>0</v>
      </c>
      <c r="BE11" s="16" t="b">
        <v>0</v>
      </c>
      <c r="BF11" s="1" t="b">
        <v>0</v>
      </c>
      <c r="BG11" s="1" t="b">
        <v>0</v>
      </c>
    </row>
    <row r="12">
      <c r="A12" s="12" t="s">
        <v>93</v>
      </c>
      <c r="B12" s="19" t="s">
        <v>94</v>
      </c>
      <c r="C12" s="19" t="s">
        <v>95</v>
      </c>
      <c r="D12" s="12"/>
      <c r="E12" s="12"/>
      <c r="F12" s="14">
        <v>55.0</v>
      </c>
      <c r="G12" s="14">
        <v>105.0</v>
      </c>
      <c r="H12" s="1" t="s">
        <v>96</v>
      </c>
      <c r="I12" s="1" t="b">
        <v>0</v>
      </c>
      <c r="J12" s="1">
        <v>1.0</v>
      </c>
      <c r="K12" s="1">
        <v>1.0</v>
      </c>
      <c r="L12" s="1">
        <v>3.5</v>
      </c>
      <c r="M12" s="1">
        <v>1.0</v>
      </c>
      <c r="N12" s="1">
        <v>1.0</v>
      </c>
      <c r="O12" s="1">
        <v>5.0</v>
      </c>
      <c r="P12" s="1">
        <v>5.0</v>
      </c>
      <c r="Q12" s="1">
        <v>10.5</v>
      </c>
      <c r="R12" s="1">
        <v>15.0</v>
      </c>
      <c r="S12" s="1">
        <v>12.6</v>
      </c>
      <c r="T12" s="1">
        <v>5.5</v>
      </c>
      <c r="U12" s="1">
        <v>7.0</v>
      </c>
      <c r="V12" s="1">
        <v>6.15</v>
      </c>
      <c r="W12" s="1">
        <v>2.5</v>
      </c>
      <c r="X12" s="1">
        <v>4.0</v>
      </c>
      <c r="Y12" s="1">
        <v>3.325</v>
      </c>
      <c r="Z12" s="1">
        <v>10.0</v>
      </c>
      <c r="AA12" s="15">
        <f t="shared" si="1"/>
        <v>2.05</v>
      </c>
      <c r="AB12" s="1">
        <f t="shared" si="2"/>
        <v>0.26</v>
      </c>
      <c r="AD12" s="14">
        <v>0.18</v>
      </c>
      <c r="AE12" s="14">
        <v>0.48</v>
      </c>
      <c r="AF12" s="11">
        <v>1.0</v>
      </c>
      <c r="AG12" s="14">
        <v>2.0</v>
      </c>
      <c r="AH12" s="14">
        <v>1.0</v>
      </c>
      <c r="AI12" s="11" t="b">
        <v>1</v>
      </c>
      <c r="AJ12" s="11" t="b">
        <v>0</v>
      </c>
      <c r="AK12" s="16" t="b">
        <v>0</v>
      </c>
      <c r="AL12" s="11">
        <v>0.036</v>
      </c>
      <c r="AM12" s="11">
        <v>0.1</v>
      </c>
      <c r="AN12" s="11" t="b">
        <v>0</v>
      </c>
      <c r="AO12" s="17" t="s">
        <v>87</v>
      </c>
      <c r="AP12" s="11" t="b">
        <v>1</v>
      </c>
      <c r="AQ12" s="11" t="b">
        <v>0</v>
      </c>
      <c r="AR12" s="1">
        <v>1.0</v>
      </c>
      <c r="AS12" s="1" t="b">
        <v>0</v>
      </c>
      <c r="AT12" s="14">
        <v>23.5</v>
      </c>
      <c r="AU12" s="14">
        <v>0.07</v>
      </c>
      <c r="AV12" s="14">
        <v>1.22</v>
      </c>
      <c r="AW12" s="14">
        <v>0.024</v>
      </c>
      <c r="AX12" s="14">
        <v>0.36</v>
      </c>
      <c r="AY12" s="11">
        <v>1.0</v>
      </c>
      <c r="AZ12" s="11" t="b">
        <v>1</v>
      </c>
      <c r="BA12" s="11" t="b">
        <v>0</v>
      </c>
      <c r="BB12" s="16" t="b">
        <v>0</v>
      </c>
      <c r="BC12" s="16" t="b">
        <v>0</v>
      </c>
      <c r="BD12" s="16" t="b">
        <v>0</v>
      </c>
      <c r="BE12" s="16" t="b">
        <v>0</v>
      </c>
      <c r="BF12" s="1" t="b">
        <v>0</v>
      </c>
      <c r="BG12" s="1" t="b">
        <v>0</v>
      </c>
    </row>
    <row r="13">
      <c r="A13" s="12" t="s">
        <v>97</v>
      </c>
      <c r="B13" s="19" t="s">
        <v>98</v>
      </c>
      <c r="C13" s="19" t="s">
        <v>99</v>
      </c>
      <c r="D13" s="12"/>
      <c r="E13" s="12"/>
      <c r="F13" s="14">
        <v>70.0</v>
      </c>
      <c r="G13" s="14">
        <v>100.0</v>
      </c>
      <c r="H13" s="1" t="s">
        <v>96</v>
      </c>
      <c r="I13" s="1" t="b">
        <v>0</v>
      </c>
      <c r="J13" s="1">
        <v>1.0</v>
      </c>
      <c r="K13" s="1">
        <v>1.5</v>
      </c>
      <c r="L13" s="1">
        <v>3.5</v>
      </c>
      <c r="M13" s="1">
        <v>0.5</v>
      </c>
      <c r="N13" s="1">
        <v>0.5</v>
      </c>
      <c r="O13" s="1">
        <v>4.0</v>
      </c>
      <c r="P13" s="1">
        <v>4.0</v>
      </c>
      <c r="Q13" s="1">
        <v>12.0</v>
      </c>
      <c r="R13" s="1">
        <v>14.0</v>
      </c>
      <c r="S13" s="1">
        <v>12.65</v>
      </c>
      <c r="T13" s="1">
        <v>5.5</v>
      </c>
      <c r="U13" s="1">
        <v>8.0</v>
      </c>
      <c r="V13" s="1">
        <v>6.6</v>
      </c>
      <c r="W13" s="1">
        <v>3.0</v>
      </c>
      <c r="X13" s="1">
        <v>4.0</v>
      </c>
      <c r="Y13" s="1">
        <v>3.5</v>
      </c>
      <c r="Z13" s="1">
        <v>10.0</v>
      </c>
      <c r="AA13" s="15">
        <f t="shared" si="1"/>
        <v>1.92</v>
      </c>
      <c r="AB13" s="1">
        <f t="shared" si="2"/>
        <v>0.28</v>
      </c>
      <c r="AD13" s="14">
        <v>0.18</v>
      </c>
      <c r="AE13" s="14">
        <v>0.48</v>
      </c>
      <c r="AF13" s="11">
        <v>1.0</v>
      </c>
      <c r="AG13" s="14">
        <v>2.0</v>
      </c>
      <c r="AH13" s="14">
        <v>2.0</v>
      </c>
      <c r="AI13" s="11" t="b">
        <v>1</v>
      </c>
      <c r="AJ13" s="11" t="b">
        <v>0</v>
      </c>
      <c r="AK13" s="16" t="b">
        <v>0</v>
      </c>
      <c r="AL13" s="11">
        <v>0.024</v>
      </c>
      <c r="AM13" s="11">
        <v>0.071</v>
      </c>
      <c r="AN13" s="11" t="b">
        <v>0</v>
      </c>
      <c r="AO13" s="17" t="s">
        <v>87</v>
      </c>
      <c r="AP13" s="11" t="b">
        <v>0</v>
      </c>
      <c r="AQ13" s="11" t="b">
        <v>0</v>
      </c>
      <c r="AR13" s="1">
        <v>1.0</v>
      </c>
      <c r="AS13" s="1" t="b">
        <v>0</v>
      </c>
      <c r="AT13" s="14">
        <v>10.0</v>
      </c>
      <c r="AU13" s="14">
        <v>0.07</v>
      </c>
      <c r="AV13" s="14">
        <v>0.83</v>
      </c>
      <c r="AW13" s="14">
        <v>0.048</v>
      </c>
      <c r="AX13" s="14">
        <v>0.24</v>
      </c>
      <c r="AY13" s="11">
        <v>1.0</v>
      </c>
      <c r="AZ13" s="11" t="b">
        <v>0</v>
      </c>
      <c r="BA13" s="11" t="b">
        <v>1</v>
      </c>
      <c r="BB13" s="16" t="b">
        <v>0</v>
      </c>
      <c r="BC13" s="16" t="b">
        <v>0</v>
      </c>
      <c r="BD13" s="16" t="b">
        <v>0</v>
      </c>
      <c r="BE13" s="16" t="b">
        <v>0</v>
      </c>
      <c r="BF13" s="1" t="b">
        <v>0</v>
      </c>
      <c r="BG13" s="1" t="b">
        <v>0</v>
      </c>
    </row>
    <row r="14">
      <c r="A14" s="18" t="s">
        <v>100</v>
      </c>
      <c r="B14" s="19" t="s">
        <v>101</v>
      </c>
      <c r="C14" s="19" t="s">
        <v>102</v>
      </c>
      <c r="D14" s="12" t="s">
        <v>103</v>
      </c>
      <c r="E14" s="12">
        <v>1.0</v>
      </c>
      <c r="F14" s="14">
        <v>75.0</v>
      </c>
      <c r="G14" s="14">
        <v>100.0</v>
      </c>
      <c r="I14" s="1" t="b">
        <v>0</v>
      </c>
      <c r="J14" s="1">
        <v>2.0</v>
      </c>
      <c r="K14" s="1">
        <v>1.5</v>
      </c>
      <c r="L14" s="1">
        <v>3.5</v>
      </c>
      <c r="M14" s="1">
        <v>1.0</v>
      </c>
      <c r="N14" s="1">
        <v>1.0</v>
      </c>
      <c r="O14" s="1">
        <v>5.0</v>
      </c>
      <c r="P14" s="1">
        <v>5.0</v>
      </c>
      <c r="Q14" s="1">
        <v>15.0</v>
      </c>
      <c r="R14" s="1">
        <v>17.0</v>
      </c>
      <c r="S14" s="1">
        <v>16.0</v>
      </c>
      <c r="T14" s="1">
        <v>7.0</v>
      </c>
      <c r="U14" s="1">
        <v>8.0</v>
      </c>
      <c r="V14" s="1">
        <v>7.5</v>
      </c>
      <c r="W14" s="1">
        <v>5.0</v>
      </c>
      <c r="X14" s="1">
        <v>5.0</v>
      </c>
      <c r="Y14" s="1">
        <v>5.0</v>
      </c>
      <c r="Z14" s="1">
        <v>2.0</v>
      </c>
      <c r="AA14" s="15">
        <f t="shared" si="1"/>
        <v>2.13</v>
      </c>
      <c r="AB14" s="1">
        <f t="shared" si="2"/>
        <v>0.31</v>
      </c>
      <c r="AD14" s="14">
        <v>0.2</v>
      </c>
      <c r="AE14" s="14">
        <v>0.61</v>
      </c>
      <c r="AF14" s="11">
        <v>2.0</v>
      </c>
      <c r="AG14" s="14">
        <v>2.0</v>
      </c>
      <c r="AH14" s="14">
        <v>4.0</v>
      </c>
      <c r="AI14" s="11" t="b">
        <v>1</v>
      </c>
      <c r="AJ14" s="11" t="b">
        <v>1</v>
      </c>
      <c r="AK14" s="16" t="b">
        <v>0</v>
      </c>
      <c r="AL14" s="11">
        <v>0.06</v>
      </c>
      <c r="AM14" s="11">
        <v>0.048</v>
      </c>
      <c r="AN14" s="11" t="b">
        <v>1</v>
      </c>
      <c r="AO14" s="17" t="s">
        <v>104</v>
      </c>
      <c r="AP14" s="11" t="b">
        <v>1</v>
      </c>
      <c r="AQ14" s="10"/>
      <c r="AS14" s="1" t="b">
        <v>0</v>
      </c>
      <c r="AT14" s="10"/>
      <c r="AU14" s="10"/>
      <c r="AV14" s="10"/>
      <c r="AW14" s="10"/>
      <c r="AX14" s="10"/>
      <c r="AY14" s="11">
        <v>1.0</v>
      </c>
      <c r="AZ14" s="11" t="b">
        <v>1</v>
      </c>
      <c r="BA14" s="11" t="b">
        <v>0</v>
      </c>
      <c r="BB14" s="16" t="b">
        <v>0</v>
      </c>
      <c r="BC14" s="16" t="b">
        <v>0</v>
      </c>
      <c r="BD14" s="16" t="b">
        <v>0</v>
      </c>
      <c r="BE14" s="16" t="b">
        <v>0</v>
      </c>
      <c r="BF14" s="1" t="b">
        <v>1</v>
      </c>
      <c r="BG14" s="1" t="b">
        <v>0</v>
      </c>
    </row>
    <row r="15">
      <c r="A15" s="12" t="s">
        <v>105</v>
      </c>
      <c r="B15" s="19"/>
      <c r="C15" s="19"/>
      <c r="D15" s="12" t="s">
        <v>106</v>
      </c>
      <c r="E15" s="12">
        <v>2.0</v>
      </c>
      <c r="F15" s="14">
        <v>100.0</v>
      </c>
      <c r="G15" s="14">
        <v>67.5</v>
      </c>
      <c r="H15" s="1" t="s">
        <v>96</v>
      </c>
      <c r="I15" s="1" t="b">
        <v>0</v>
      </c>
      <c r="J15" s="1">
        <v>2.0</v>
      </c>
      <c r="K15" s="1">
        <v>1.75</v>
      </c>
      <c r="L15" s="1">
        <v>4.0</v>
      </c>
      <c r="M15" s="1">
        <v>0.75</v>
      </c>
      <c r="N15" s="1">
        <v>0.75</v>
      </c>
      <c r="O15" s="1">
        <v>5.0</v>
      </c>
      <c r="P15" s="1">
        <v>10.0</v>
      </c>
      <c r="Q15" s="1">
        <v>11.0</v>
      </c>
      <c r="R15" s="1">
        <v>14.0</v>
      </c>
      <c r="S15" s="1">
        <v>12.4</v>
      </c>
      <c r="T15" s="1">
        <v>5.5</v>
      </c>
      <c r="U15" s="1">
        <v>6.5</v>
      </c>
      <c r="V15" s="1">
        <v>5.825</v>
      </c>
      <c r="W15" s="1">
        <v>3.5</v>
      </c>
      <c r="X15" s="1">
        <v>4.5</v>
      </c>
      <c r="Y15" s="1">
        <v>3.875</v>
      </c>
      <c r="Z15" s="1">
        <v>10.0</v>
      </c>
      <c r="AA15" s="15">
        <f t="shared" si="1"/>
        <v>2.13</v>
      </c>
      <c r="AB15" s="1">
        <f t="shared" si="2"/>
        <v>0.31</v>
      </c>
      <c r="AD15" s="14">
        <v>0.1</v>
      </c>
      <c r="AE15" s="14">
        <v>0.73</v>
      </c>
      <c r="AF15" s="11">
        <v>2.0</v>
      </c>
      <c r="AG15" s="14">
        <v>2.0</v>
      </c>
      <c r="AH15" s="14">
        <v>5.0</v>
      </c>
      <c r="AI15" s="11" t="b">
        <v>0</v>
      </c>
      <c r="AJ15" s="11" t="b">
        <v>1</v>
      </c>
      <c r="AK15" s="16" t="b">
        <v>0</v>
      </c>
      <c r="AL15" s="11">
        <v>0.018</v>
      </c>
      <c r="AM15" s="11">
        <v>0.06</v>
      </c>
      <c r="AN15" s="11" t="b">
        <v>1</v>
      </c>
      <c r="AO15" s="17" t="s">
        <v>87</v>
      </c>
      <c r="AP15" s="11" t="b">
        <v>1</v>
      </c>
      <c r="AQ15" s="11" t="b">
        <v>1</v>
      </c>
      <c r="AR15" s="1">
        <v>1.0</v>
      </c>
      <c r="AS15" s="1" t="b">
        <v>0</v>
      </c>
      <c r="AT15" s="14">
        <v>24.0</v>
      </c>
      <c r="AU15" s="14">
        <v>0.09</v>
      </c>
      <c r="AV15" s="14">
        <v>0.91</v>
      </c>
      <c r="AW15" s="14">
        <v>0.02</v>
      </c>
      <c r="AX15" s="14">
        <v>0.97</v>
      </c>
      <c r="AY15" s="11">
        <v>2.0</v>
      </c>
      <c r="AZ15" s="11" t="b">
        <v>0</v>
      </c>
      <c r="BA15" s="11" t="b">
        <v>0</v>
      </c>
      <c r="BB15" s="16" t="b">
        <v>0</v>
      </c>
      <c r="BC15" s="16" t="b">
        <v>0</v>
      </c>
      <c r="BD15" s="16" t="b">
        <v>0</v>
      </c>
      <c r="BE15" s="16" t="b">
        <v>0</v>
      </c>
      <c r="BF15" s="1" t="b">
        <v>0</v>
      </c>
      <c r="BG15" s="1" t="b">
        <v>0</v>
      </c>
    </row>
    <row r="16">
      <c r="A16" s="12">
        <v>2.0240813E7</v>
      </c>
      <c r="B16" s="19" t="s">
        <v>107</v>
      </c>
      <c r="C16" s="20" t="s">
        <v>108</v>
      </c>
      <c r="D16" s="12" t="s">
        <v>109</v>
      </c>
      <c r="E16" s="12">
        <v>1.0</v>
      </c>
      <c r="F16" s="14">
        <v>90.0</v>
      </c>
      <c r="G16" s="14">
        <v>85.0</v>
      </c>
      <c r="H16" s="1" t="s">
        <v>96</v>
      </c>
      <c r="I16" s="1" t="b">
        <v>0</v>
      </c>
      <c r="J16" s="1">
        <v>1.0</v>
      </c>
      <c r="K16" s="1">
        <v>1.5</v>
      </c>
      <c r="L16" s="1">
        <v>3.5</v>
      </c>
      <c r="M16" s="1">
        <v>1.0</v>
      </c>
      <c r="N16" s="1">
        <v>1.0</v>
      </c>
      <c r="O16" s="1">
        <v>5.0</v>
      </c>
      <c r="P16" s="1">
        <v>6.0</v>
      </c>
      <c r="Q16" s="1">
        <v>13.0</v>
      </c>
      <c r="R16" s="1">
        <v>16.0</v>
      </c>
      <c r="S16" s="1">
        <v>14.85</v>
      </c>
      <c r="T16" s="1">
        <v>6.5</v>
      </c>
      <c r="U16" s="1">
        <v>8.0</v>
      </c>
      <c r="V16" s="1">
        <v>7.15</v>
      </c>
      <c r="W16" s="1">
        <v>3.0</v>
      </c>
      <c r="X16" s="1">
        <v>5.5</v>
      </c>
      <c r="Y16" s="1">
        <v>4.025</v>
      </c>
      <c r="Z16" s="1">
        <v>10.0</v>
      </c>
      <c r="AA16" s="15">
        <f t="shared" si="1"/>
        <v>2.08</v>
      </c>
      <c r="AB16" s="1">
        <f t="shared" si="2"/>
        <v>0.27</v>
      </c>
      <c r="AD16" s="14">
        <v>0.18</v>
      </c>
      <c r="AE16" s="14">
        <v>0.48</v>
      </c>
      <c r="AF16" s="11">
        <v>1.0</v>
      </c>
      <c r="AG16" s="14">
        <v>2.0</v>
      </c>
      <c r="AH16" s="14">
        <v>1.0</v>
      </c>
      <c r="AI16" s="11" t="b">
        <v>1</v>
      </c>
      <c r="AJ16" s="11" t="b">
        <v>0</v>
      </c>
      <c r="AK16" s="16" t="b">
        <v>0</v>
      </c>
      <c r="AL16" s="11">
        <v>0.07</v>
      </c>
      <c r="AM16" s="11">
        <v>0.1</v>
      </c>
      <c r="AN16" s="11" t="b">
        <v>0</v>
      </c>
      <c r="AO16" s="17" t="s">
        <v>87</v>
      </c>
      <c r="AP16" s="11"/>
      <c r="AQ16" s="10"/>
      <c r="AT16" s="10"/>
      <c r="AU16" s="10"/>
      <c r="AV16" s="10"/>
      <c r="AW16" s="10"/>
      <c r="AX16" s="10"/>
      <c r="AY16" s="10"/>
      <c r="AZ16" s="10"/>
      <c r="BA16" s="11"/>
      <c r="BB16" s="16" t="b">
        <v>0</v>
      </c>
      <c r="BC16" s="16" t="b">
        <v>0</v>
      </c>
      <c r="BD16" s="16" t="b">
        <v>0</v>
      </c>
      <c r="BE16" s="16" t="b">
        <v>0</v>
      </c>
      <c r="BF16" s="1" t="b">
        <v>0</v>
      </c>
      <c r="BG16" s="1" t="b">
        <v>0</v>
      </c>
    </row>
    <row r="17">
      <c r="A17" s="12" t="s">
        <v>110</v>
      </c>
      <c r="B17" s="19" t="s">
        <v>111</v>
      </c>
      <c r="C17" s="19" t="s">
        <v>112</v>
      </c>
      <c r="D17" s="12"/>
      <c r="E17" s="12"/>
      <c r="F17" s="14">
        <v>45.0</v>
      </c>
      <c r="G17" s="14">
        <v>50.0</v>
      </c>
      <c r="H17" s="1" t="s">
        <v>96</v>
      </c>
      <c r="I17" s="1" t="b">
        <v>0</v>
      </c>
      <c r="J17" s="1">
        <v>3.0</v>
      </c>
      <c r="K17" s="1">
        <v>2.0</v>
      </c>
      <c r="L17" s="1">
        <v>4.0</v>
      </c>
      <c r="M17" s="1">
        <v>1.5</v>
      </c>
      <c r="N17" s="1">
        <v>1.5</v>
      </c>
      <c r="O17" s="1">
        <v>5.0</v>
      </c>
      <c r="P17" s="1">
        <v>5.0</v>
      </c>
      <c r="Q17" s="1">
        <v>9.0</v>
      </c>
      <c r="R17" s="1">
        <v>11.0</v>
      </c>
      <c r="S17" s="1">
        <v>9.75</v>
      </c>
      <c r="T17" s="1">
        <v>4.0</v>
      </c>
      <c r="U17" s="1">
        <v>5.0</v>
      </c>
      <c r="V17" s="1">
        <v>4.675</v>
      </c>
      <c r="W17" s="1">
        <v>2.0</v>
      </c>
      <c r="X17" s="1">
        <v>3.0</v>
      </c>
      <c r="Y17" s="1">
        <v>2.4</v>
      </c>
      <c r="Z17" s="1">
        <v>10.0</v>
      </c>
      <c r="AA17" s="15">
        <f t="shared" si="1"/>
        <v>2.09</v>
      </c>
      <c r="AB17" s="1">
        <f t="shared" si="2"/>
        <v>0.25</v>
      </c>
      <c r="AD17" s="14">
        <v>0.19</v>
      </c>
      <c r="AE17" s="14">
        <v>0.428</v>
      </c>
      <c r="AF17" s="11">
        <v>1.0</v>
      </c>
      <c r="AG17" s="14">
        <v>2.0</v>
      </c>
      <c r="AH17" s="14">
        <v>5.0</v>
      </c>
      <c r="AI17" s="11" t="b">
        <v>1</v>
      </c>
      <c r="AJ17" s="11" t="b">
        <v>0</v>
      </c>
      <c r="AK17" s="16" t="b">
        <v>0</v>
      </c>
      <c r="AL17" s="11">
        <v>0.048</v>
      </c>
      <c r="AM17" s="11">
        <v>0.071</v>
      </c>
      <c r="AN17" s="11" t="b">
        <v>0</v>
      </c>
      <c r="AO17" s="17" t="s">
        <v>87</v>
      </c>
      <c r="AP17" s="11" t="b">
        <v>0</v>
      </c>
      <c r="AQ17" s="11" t="b">
        <v>0</v>
      </c>
      <c r="AR17" s="1">
        <v>2.0</v>
      </c>
      <c r="AS17" s="1" t="b">
        <v>0</v>
      </c>
      <c r="AT17" s="14">
        <v>11.0</v>
      </c>
      <c r="AU17" s="14">
        <v>0.14</v>
      </c>
      <c r="AV17" s="14">
        <v>0.833</v>
      </c>
      <c r="AW17" s="14">
        <v>0.12</v>
      </c>
      <c r="AX17" s="14">
        <v>0.91</v>
      </c>
      <c r="AY17" s="11">
        <v>2.0</v>
      </c>
      <c r="AZ17" s="11" t="b">
        <v>0</v>
      </c>
      <c r="BA17" s="11" t="b">
        <v>0</v>
      </c>
      <c r="BB17" s="16" t="b">
        <v>0</v>
      </c>
      <c r="BC17" s="16" t="b">
        <v>0</v>
      </c>
      <c r="BD17" s="16" t="b">
        <v>0</v>
      </c>
      <c r="BE17" s="16" t="b">
        <v>0</v>
      </c>
      <c r="BF17" s="1" t="b">
        <v>1</v>
      </c>
      <c r="BG17" s="1" t="b">
        <v>0</v>
      </c>
    </row>
    <row r="18">
      <c r="A18" s="12" t="s">
        <v>113</v>
      </c>
      <c r="B18" s="19"/>
      <c r="C18" s="19"/>
      <c r="D18" s="12" t="s">
        <v>114</v>
      </c>
      <c r="E18" s="12">
        <v>2.0</v>
      </c>
      <c r="F18" s="14">
        <v>70.0</v>
      </c>
      <c r="G18" s="14">
        <v>50.0</v>
      </c>
      <c r="H18" s="1" t="s">
        <v>96</v>
      </c>
      <c r="I18" s="1" t="b">
        <v>0</v>
      </c>
      <c r="J18" s="1">
        <v>3.0</v>
      </c>
      <c r="K18" s="1">
        <v>2.0</v>
      </c>
      <c r="L18" s="1">
        <v>3.5</v>
      </c>
      <c r="M18" s="1">
        <v>2.0</v>
      </c>
      <c r="N18" s="1">
        <v>2.0</v>
      </c>
      <c r="O18" s="1">
        <v>6.0</v>
      </c>
      <c r="P18" s="1">
        <v>6.0</v>
      </c>
      <c r="Z18" s="1">
        <v>0.0</v>
      </c>
      <c r="AD18" s="14">
        <v>0.23</v>
      </c>
      <c r="AE18" s="14">
        <v>0.76</v>
      </c>
      <c r="AF18" s="11">
        <v>1.0</v>
      </c>
      <c r="AG18" s="14">
        <v>2.0</v>
      </c>
      <c r="AH18" s="14">
        <v>4.0</v>
      </c>
      <c r="AI18" s="11" t="b">
        <v>1</v>
      </c>
      <c r="AJ18" s="11" t="b">
        <v>0</v>
      </c>
      <c r="AK18" s="16" t="b">
        <v>0</v>
      </c>
      <c r="AL18" s="11">
        <v>0.024</v>
      </c>
      <c r="AM18" s="11">
        <v>0.7</v>
      </c>
      <c r="AN18" s="11" t="b">
        <v>0</v>
      </c>
      <c r="AO18" s="17" t="s">
        <v>87</v>
      </c>
      <c r="AP18" s="11" t="b">
        <v>0</v>
      </c>
      <c r="AQ18" s="11" t="b">
        <v>0</v>
      </c>
      <c r="AR18" s="1">
        <v>3.0</v>
      </c>
      <c r="AS18" s="1" t="b">
        <v>1</v>
      </c>
      <c r="AT18" s="14">
        <v>19.0</v>
      </c>
      <c r="AU18" s="10"/>
      <c r="AV18" s="10"/>
      <c r="AW18" s="14">
        <v>0.0</v>
      </c>
      <c r="AX18" s="14">
        <v>0.48</v>
      </c>
      <c r="AY18" s="11">
        <v>1.0</v>
      </c>
      <c r="AZ18" s="11" t="b">
        <v>0</v>
      </c>
      <c r="BA18" s="11" t="b">
        <v>0</v>
      </c>
      <c r="BB18" s="16" t="b">
        <v>0</v>
      </c>
      <c r="BC18" s="16" t="b">
        <v>0</v>
      </c>
      <c r="BD18" s="16" t="b">
        <v>0</v>
      </c>
      <c r="BE18" s="16" t="b">
        <v>0</v>
      </c>
      <c r="BF18" s="1" t="b">
        <v>0</v>
      </c>
      <c r="BG18" s="1" t="b">
        <v>0</v>
      </c>
    </row>
    <row r="19">
      <c r="A19" s="12" t="s">
        <v>115</v>
      </c>
      <c r="B19" s="19" t="s">
        <v>116</v>
      </c>
      <c r="C19" s="19" t="s">
        <v>117</v>
      </c>
      <c r="D19" s="12"/>
      <c r="E19" s="12"/>
      <c r="F19" s="14">
        <v>62.5</v>
      </c>
      <c r="G19" s="14">
        <v>45.0</v>
      </c>
      <c r="H19" s="1" t="s">
        <v>96</v>
      </c>
      <c r="I19" s="1" t="b">
        <v>0</v>
      </c>
      <c r="J19" s="1">
        <v>1.0</v>
      </c>
      <c r="K19" s="1">
        <v>1.5</v>
      </c>
      <c r="L19" s="1">
        <v>3.5</v>
      </c>
      <c r="M19" s="1">
        <v>1.5</v>
      </c>
      <c r="N19" s="1">
        <v>1.5</v>
      </c>
      <c r="O19" s="1">
        <v>5.0</v>
      </c>
      <c r="P19" s="1">
        <v>5.0</v>
      </c>
      <c r="Q19" s="1">
        <v>10.0</v>
      </c>
      <c r="R19" s="1">
        <v>12.0</v>
      </c>
      <c r="S19" s="1">
        <v>11.25</v>
      </c>
      <c r="T19" s="1">
        <v>4.5</v>
      </c>
      <c r="U19" s="1">
        <v>5.5</v>
      </c>
      <c r="V19" s="1">
        <v>5.125</v>
      </c>
      <c r="W19" s="1">
        <v>2.0</v>
      </c>
      <c r="X19" s="1">
        <v>4.0</v>
      </c>
      <c r="Y19" s="1">
        <v>2.675</v>
      </c>
      <c r="Z19" s="1">
        <v>10.0</v>
      </c>
      <c r="AA19" s="15">
        <f t="shared" ref="AA19:AA39" si="3">ROUND(sum(S19/V19), 2)</f>
        <v>2.2</v>
      </c>
      <c r="AB19" s="1">
        <f t="shared" ref="AB19:AB39" si="4">ROUND(SUM(Y19/S19), 2)</f>
        <v>0.24</v>
      </c>
      <c r="AD19" s="14">
        <v>0.18</v>
      </c>
      <c r="AE19" s="14">
        <v>0.48</v>
      </c>
      <c r="AF19" s="11">
        <v>2.0</v>
      </c>
      <c r="AG19" s="14">
        <v>2.0</v>
      </c>
      <c r="AH19" s="14">
        <v>5.0</v>
      </c>
      <c r="AI19" s="11" t="b">
        <v>1</v>
      </c>
      <c r="AJ19" s="11" t="b">
        <v>0</v>
      </c>
      <c r="AK19" s="16" t="b">
        <v>0</v>
      </c>
      <c r="AL19" s="11">
        <v>0.024</v>
      </c>
      <c r="AM19" s="11">
        <v>0.071</v>
      </c>
      <c r="AN19" s="11" t="b">
        <v>1</v>
      </c>
      <c r="AO19" s="17" t="s">
        <v>87</v>
      </c>
      <c r="AP19" s="11" t="b">
        <v>1</v>
      </c>
      <c r="AQ19" s="11" t="b">
        <v>1</v>
      </c>
      <c r="AR19" s="1">
        <v>2.0</v>
      </c>
      <c r="AS19" s="1" t="b">
        <v>0</v>
      </c>
      <c r="AT19" s="14">
        <v>12.0</v>
      </c>
      <c r="AU19" s="14">
        <v>0.14</v>
      </c>
      <c r="AV19" s="14">
        <v>1.09</v>
      </c>
      <c r="AW19" s="14">
        <v>0.05</v>
      </c>
      <c r="AX19" s="14">
        <v>0.31</v>
      </c>
      <c r="AY19" s="11">
        <v>2.0</v>
      </c>
      <c r="AZ19" s="11" t="b">
        <v>0</v>
      </c>
      <c r="BA19" s="11" t="b">
        <v>0</v>
      </c>
      <c r="BB19" s="16" t="b">
        <v>0</v>
      </c>
      <c r="BC19" s="16" t="b">
        <v>0</v>
      </c>
      <c r="BD19" s="16" t="b">
        <v>0</v>
      </c>
      <c r="BE19" s="16" t="b">
        <v>0</v>
      </c>
      <c r="BF19" s="1" t="b">
        <v>0</v>
      </c>
      <c r="BG19" s="1" t="b">
        <v>0</v>
      </c>
    </row>
    <row r="20">
      <c r="A20" s="12" t="s">
        <v>118</v>
      </c>
      <c r="B20" s="19" t="s">
        <v>119</v>
      </c>
      <c r="C20" s="19" t="s">
        <v>120</v>
      </c>
      <c r="D20" s="12"/>
      <c r="E20" s="12"/>
      <c r="F20" s="14">
        <v>112.5</v>
      </c>
      <c r="G20" s="14">
        <v>150.0</v>
      </c>
      <c r="H20" s="1" t="s">
        <v>96</v>
      </c>
      <c r="I20" s="1" t="b">
        <v>0</v>
      </c>
      <c r="J20" s="1">
        <v>3.0</v>
      </c>
      <c r="K20" s="1">
        <v>1.5</v>
      </c>
      <c r="L20" s="1">
        <v>5.0</v>
      </c>
      <c r="M20" s="1">
        <v>1.0</v>
      </c>
      <c r="N20" s="1">
        <v>1.0</v>
      </c>
      <c r="O20" s="1">
        <v>5.0</v>
      </c>
      <c r="P20" s="1">
        <v>5.0</v>
      </c>
      <c r="Q20" s="1">
        <v>12.0</v>
      </c>
      <c r="R20" s="1">
        <v>13.0</v>
      </c>
      <c r="S20" s="1">
        <v>12.8</v>
      </c>
      <c r="T20" s="1">
        <v>6.0</v>
      </c>
      <c r="U20" s="1">
        <v>8.25</v>
      </c>
      <c r="V20" s="1">
        <v>7.275</v>
      </c>
      <c r="W20" s="1">
        <v>1.5</v>
      </c>
      <c r="X20" s="1">
        <v>3.0</v>
      </c>
      <c r="Y20" s="1">
        <v>2.15</v>
      </c>
      <c r="Z20" s="1">
        <v>10.0</v>
      </c>
      <c r="AA20" s="15">
        <f t="shared" si="3"/>
        <v>1.76</v>
      </c>
      <c r="AB20" s="1">
        <f t="shared" si="4"/>
        <v>0.17</v>
      </c>
      <c r="AD20" s="14">
        <v>0.24</v>
      </c>
      <c r="AE20" s="14">
        <v>0.79</v>
      </c>
      <c r="AF20" s="11">
        <v>2.0</v>
      </c>
      <c r="AG20" s="14">
        <v>2.0</v>
      </c>
      <c r="AH20" s="14">
        <v>2.0</v>
      </c>
      <c r="AI20" s="11" t="b">
        <v>1</v>
      </c>
      <c r="AJ20" s="11" t="b">
        <v>0</v>
      </c>
      <c r="AK20" s="16" t="b">
        <v>0</v>
      </c>
      <c r="AL20" s="11">
        <v>0.024</v>
      </c>
      <c r="AM20" s="11">
        <v>0.095</v>
      </c>
      <c r="AN20" s="11" t="b">
        <v>1</v>
      </c>
      <c r="AO20" s="17" t="s">
        <v>87</v>
      </c>
      <c r="AP20" s="11" t="b">
        <v>1</v>
      </c>
      <c r="AQ20" s="11" t="b">
        <v>1</v>
      </c>
      <c r="AR20" s="1">
        <v>1.0</v>
      </c>
      <c r="AS20" s="1" t="b">
        <v>0</v>
      </c>
      <c r="AT20" s="14">
        <v>26.0</v>
      </c>
      <c r="AU20" s="14">
        <v>0.18</v>
      </c>
      <c r="AV20" s="14">
        <v>1.83</v>
      </c>
      <c r="AW20" s="14">
        <v>0.2</v>
      </c>
      <c r="AX20" s="14">
        <v>0.73</v>
      </c>
      <c r="AY20" s="11">
        <v>1.0</v>
      </c>
      <c r="AZ20" s="11" t="b">
        <v>1</v>
      </c>
      <c r="BA20" s="11" t="b">
        <v>0</v>
      </c>
      <c r="BB20" s="16" t="b">
        <v>0</v>
      </c>
      <c r="BC20" s="16" t="b">
        <v>0</v>
      </c>
      <c r="BD20" s="16" t="b">
        <v>0</v>
      </c>
      <c r="BE20" s="16" t="b">
        <v>0</v>
      </c>
      <c r="BF20" s="1" t="b">
        <v>1</v>
      </c>
      <c r="BG20" s="1" t="b">
        <v>0</v>
      </c>
      <c r="BQ20" s="1"/>
    </row>
    <row r="21">
      <c r="A21" s="12" t="s">
        <v>121</v>
      </c>
      <c r="B21" s="19" t="s">
        <v>122</v>
      </c>
      <c r="C21" s="19" t="s">
        <v>123</v>
      </c>
      <c r="D21" s="12"/>
      <c r="E21" s="12"/>
      <c r="F21" s="14">
        <v>112.5</v>
      </c>
      <c r="G21" s="14">
        <v>125.0</v>
      </c>
      <c r="H21" s="1" t="s">
        <v>96</v>
      </c>
      <c r="I21" s="1" t="b">
        <v>0</v>
      </c>
      <c r="J21" s="1">
        <v>3.0</v>
      </c>
      <c r="K21" s="1">
        <v>1.5</v>
      </c>
      <c r="L21" s="1">
        <v>3.0</v>
      </c>
      <c r="M21" s="1">
        <v>1.0</v>
      </c>
      <c r="N21" s="1">
        <v>1.0</v>
      </c>
      <c r="O21" s="1">
        <v>6.0</v>
      </c>
      <c r="P21" s="1">
        <v>10.0</v>
      </c>
      <c r="Q21" s="1">
        <v>11.0</v>
      </c>
      <c r="R21" s="1">
        <v>14.25</v>
      </c>
      <c r="S21" s="1">
        <v>12.625</v>
      </c>
      <c r="T21" s="1">
        <v>5.5</v>
      </c>
      <c r="U21" s="1">
        <v>7.0</v>
      </c>
      <c r="V21" s="1">
        <v>6.2</v>
      </c>
      <c r="W21" s="1">
        <v>3.0</v>
      </c>
      <c r="X21" s="1">
        <v>3.75</v>
      </c>
      <c r="Y21" s="1">
        <v>3.125</v>
      </c>
      <c r="Z21" s="1">
        <v>10.0</v>
      </c>
      <c r="AA21" s="15">
        <f t="shared" si="3"/>
        <v>2.04</v>
      </c>
      <c r="AB21" s="1">
        <f t="shared" si="4"/>
        <v>0.25</v>
      </c>
      <c r="AD21" s="14">
        <v>0.19</v>
      </c>
      <c r="AE21" s="14">
        <v>0.48</v>
      </c>
      <c r="AF21" s="11">
        <v>1.0</v>
      </c>
      <c r="AG21" s="14">
        <v>2.0</v>
      </c>
      <c r="AH21" s="14">
        <v>2.0</v>
      </c>
      <c r="AI21" s="11" t="b">
        <v>1</v>
      </c>
      <c r="AJ21" s="11" t="b">
        <v>0</v>
      </c>
      <c r="AK21" s="16" t="b">
        <v>0</v>
      </c>
      <c r="AL21" s="11">
        <v>0.024</v>
      </c>
      <c r="AM21" s="11">
        <v>0.071</v>
      </c>
      <c r="AN21" s="11" t="b">
        <v>1</v>
      </c>
      <c r="AO21" s="17" t="s">
        <v>87</v>
      </c>
      <c r="AP21" s="11" t="b">
        <v>1</v>
      </c>
      <c r="AQ21" s="11" t="b">
        <v>1</v>
      </c>
      <c r="AR21" s="1">
        <v>2.0</v>
      </c>
      <c r="AS21" s="1" t="b">
        <v>0</v>
      </c>
      <c r="AT21" s="14">
        <v>31.5</v>
      </c>
      <c r="AU21" s="14">
        <v>0.1</v>
      </c>
      <c r="AV21" s="14">
        <v>0.85</v>
      </c>
      <c r="AW21" s="14">
        <v>0.1</v>
      </c>
      <c r="AX21" s="14">
        <v>0.24</v>
      </c>
      <c r="AY21" s="11">
        <v>1.0</v>
      </c>
      <c r="AZ21" s="11" t="b">
        <v>1</v>
      </c>
      <c r="BA21" s="11" t="b">
        <v>0</v>
      </c>
      <c r="BB21" s="16" t="b">
        <v>0</v>
      </c>
      <c r="BC21" s="16" t="b">
        <v>0</v>
      </c>
      <c r="BD21" s="16" t="b">
        <v>0</v>
      </c>
      <c r="BE21" s="16" t="b">
        <v>0</v>
      </c>
      <c r="BF21" s="1" t="b">
        <v>0</v>
      </c>
      <c r="BG21" s="1" t="b">
        <v>0</v>
      </c>
    </row>
    <row r="22">
      <c r="A22" s="12" t="s">
        <v>124</v>
      </c>
      <c r="B22" s="19" t="s">
        <v>125</v>
      </c>
      <c r="C22" s="19" t="s">
        <v>126</v>
      </c>
      <c r="D22" s="12" t="s">
        <v>127</v>
      </c>
      <c r="E22" s="12">
        <v>2.0</v>
      </c>
      <c r="F22" s="14">
        <v>75.0</v>
      </c>
      <c r="G22" s="14">
        <v>50.0</v>
      </c>
      <c r="H22" s="1" t="s">
        <v>69</v>
      </c>
      <c r="I22" s="1" t="b">
        <v>0</v>
      </c>
      <c r="J22" s="1">
        <v>3.0</v>
      </c>
      <c r="K22" s="1">
        <v>2.0</v>
      </c>
      <c r="L22" s="1">
        <v>4.0</v>
      </c>
      <c r="M22" s="1">
        <v>1.0</v>
      </c>
      <c r="N22" s="1">
        <v>1.0</v>
      </c>
      <c r="O22" s="1">
        <v>4.0</v>
      </c>
      <c r="P22" s="1">
        <v>9.0</v>
      </c>
      <c r="Q22" s="1">
        <v>9.0</v>
      </c>
      <c r="R22" s="1">
        <v>10.0</v>
      </c>
      <c r="S22" s="1">
        <v>9.55</v>
      </c>
      <c r="T22" s="1">
        <v>4.0</v>
      </c>
      <c r="U22" s="1">
        <v>5.0</v>
      </c>
      <c r="V22" s="1">
        <v>4.2</v>
      </c>
      <c r="W22" s="1">
        <v>2.0</v>
      </c>
      <c r="X22" s="1">
        <v>3.5</v>
      </c>
      <c r="Y22" s="1">
        <v>2.95</v>
      </c>
      <c r="Z22" s="1">
        <v>10.0</v>
      </c>
      <c r="AA22" s="15">
        <f t="shared" si="3"/>
        <v>2.27</v>
      </c>
      <c r="AB22" s="1">
        <f t="shared" si="4"/>
        <v>0.31</v>
      </c>
      <c r="AD22" s="14">
        <v>0.14</v>
      </c>
      <c r="AE22" s="14">
        <v>0.61</v>
      </c>
      <c r="AF22" s="11">
        <v>3.0</v>
      </c>
      <c r="AG22" s="14">
        <v>2.0</v>
      </c>
      <c r="AH22" s="14">
        <v>5.0</v>
      </c>
      <c r="AI22" s="11" t="b">
        <v>0</v>
      </c>
      <c r="AJ22" s="21" t="b">
        <v>1</v>
      </c>
      <c r="AK22" s="16" t="b">
        <v>0</v>
      </c>
      <c r="AL22" s="11">
        <v>0.006</v>
      </c>
      <c r="AM22" s="11">
        <v>0.06</v>
      </c>
      <c r="AN22" s="11" t="b">
        <v>1</v>
      </c>
      <c r="AO22" s="17" t="s">
        <v>87</v>
      </c>
      <c r="AP22" s="11" t="b">
        <v>1</v>
      </c>
      <c r="AQ22" s="11" t="b">
        <v>0</v>
      </c>
      <c r="AR22" s="1">
        <v>1.0</v>
      </c>
      <c r="AS22" s="1" t="b">
        <v>0</v>
      </c>
      <c r="AT22" s="14">
        <v>33.0</v>
      </c>
      <c r="AU22" s="14">
        <v>0.14</v>
      </c>
      <c r="AV22" s="14">
        <v>1.2</v>
      </c>
      <c r="AW22" s="14">
        <v>0.1</v>
      </c>
      <c r="AX22" s="14">
        <v>0.42</v>
      </c>
      <c r="AY22" s="11">
        <v>1.0</v>
      </c>
      <c r="AZ22" s="11" t="b">
        <v>0</v>
      </c>
      <c r="BA22" s="11" t="b">
        <v>0</v>
      </c>
      <c r="BB22" s="16" t="b">
        <v>0</v>
      </c>
      <c r="BC22" s="16" t="b">
        <v>0</v>
      </c>
      <c r="BD22" s="16" t="b">
        <v>0</v>
      </c>
      <c r="BE22" s="16" t="b">
        <v>0</v>
      </c>
      <c r="BF22" s="1" t="b">
        <v>0</v>
      </c>
      <c r="BG22" s="1" t="b">
        <v>0</v>
      </c>
    </row>
    <row r="23">
      <c r="A23" s="12" t="s">
        <v>128</v>
      </c>
      <c r="B23" s="19" t="s">
        <v>129</v>
      </c>
      <c r="C23" s="19" t="s">
        <v>130</v>
      </c>
      <c r="D23" s="12" t="s">
        <v>131</v>
      </c>
      <c r="E23" s="12">
        <v>1.0</v>
      </c>
      <c r="F23" s="14">
        <v>100.0</v>
      </c>
      <c r="G23" s="14">
        <v>125.0</v>
      </c>
      <c r="H23" s="1" t="s">
        <v>69</v>
      </c>
      <c r="I23" s="1" t="b">
        <v>0</v>
      </c>
      <c r="J23" s="1">
        <v>2.0</v>
      </c>
      <c r="K23" s="1">
        <v>1.5</v>
      </c>
      <c r="L23" s="1">
        <v>4.0</v>
      </c>
      <c r="M23" s="1">
        <v>1.5</v>
      </c>
      <c r="N23" s="1">
        <v>1.5</v>
      </c>
      <c r="O23" s="1">
        <v>4.0</v>
      </c>
      <c r="P23" s="1">
        <v>4.0</v>
      </c>
      <c r="Q23" s="1">
        <v>12.0</v>
      </c>
      <c r="R23" s="1">
        <v>15.0</v>
      </c>
      <c r="S23" s="1">
        <v>13.65</v>
      </c>
      <c r="T23" s="1">
        <v>6.0</v>
      </c>
      <c r="U23" s="1">
        <v>7.5</v>
      </c>
      <c r="V23" s="1">
        <v>6.95</v>
      </c>
      <c r="W23" s="1">
        <v>3.0</v>
      </c>
      <c r="X23" s="1">
        <v>5.0</v>
      </c>
      <c r="Y23" s="1">
        <v>3.95</v>
      </c>
      <c r="Z23" s="1">
        <v>10.0</v>
      </c>
      <c r="AA23" s="15">
        <f t="shared" si="3"/>
        <v>1.96</v>
      </c>
      <c r="AB23" s="1">
        <f t="shared" si="4"/>
        <v>0.29</v>
      </c>
      <c r="AD23" s="14">
        <v>0.3</v>
      </c>
      <c r="AE23" s="14">
        <v>0.61</v>
      </c>
      <c r="AF23" s="11">
        <v>1.0</v>
      </c>
      <c r="AG23" s="14">
        <v>2.0</v>
      </c>
      <c r="AH23" s="14">
        <v>2.0</v>
      </c>
      <c r="AI23" s="11" t="b">
        <v>1</v>
      </c>
      <c r="AJ23" s="11" t="b">
        <v>0</v>
      </c>
      <c r="AK23" s="16" t="b">
        <v>0</v>
      </c>
      <c r="AL23" s="11">
        <v>0.036</v>
      </c>
      <c r="AM23" s="11">
        <v>0.048</v>
      </c>
      <c r="AN23" s="11" t="b">
        <v>1</v>
      </c>
      <c r="AO23" s="17" t="s">
        <v>87</v>
      </c>
      <c r="AP23" s="11" t="b">
        <v>1</v>
      </c>
      <c r="AQ23" s="11" t="b">
        <v>1</v>
      </c>
      <c r="AR23" s="1">
        <v>1.0</v>
      </c>
      <c r="AS23" s="1" t="b">
        <v>0</v>
      </c>
      <c r="AT23" s="14">
        <v>17.5</v>
      </c>
      <c r="AU23" s="14">
        <v>0.1</v>
      </c>
      <c r="AV23" s="14">
        <v>2.0</v>
      </c>
      <c r="AW23" s="14">
        <v>0.01</v>
      </c>
      <c r="AX23" s="14">
        <v>0.97</v>
      </c>
      <c r="AY23" s="11">
        <v>1.0</v>
      </c>
      <c r="AZ23" s="11" t="b">
        <v>1</v>
      </c>
      <c r="BA23" s="11" t="b">
        <v>0</v>
      </c>
      <c r="BB23" s="16" t="b">
        <v>0</v>
      </c>
      <c r="BC23" s="16" t="b">
        <v>0</v>
      </c>
      <c r="BD23" s="16" t="b">
        <v>0</v>
      </c>
      <c r="BE23" s="16" t="b">
        <v>0</v>
      </c>
      <c r="BF23" s="1" t="b">
        <v>0</v>
      </c>
      <c r="BG23" s="1" t="b">
        <v>0</v>
      </c>
    </row>
    <row r="24">
      <c r="A24" s="12" t="s">
        <v>132</v>
      </c>
      <c r="B24" s="19"/>
      <c r="C24" s="19"/>
      <c r="D24" s="12" t="s">
        <v>133</v>
      </c>
      <c r="E24" s="12">
        <v>1.0</v>
      </c>
      <c r="F24" s="14">
        <v>87.5</v>
      </c>
      <c r="G24" s="14">
        <v>50.0</v>
      </c>
      <c r="H24" s="1" t="s">
        <v>69</v>
      </c>
      <c r="I24" s="1" t="b">
        <v>0</v>
      </c>
      <c r="J24" s="1">
        <v>2.0</v>
      </c>
      <c r="K24" s="1">
        <v>3.0</v>
      </c>
      <c r="L24" s="1">
        <v>5.0</v>
      </c>
      <c r="M24" s="1">
        <v>1.5</v>
      </c>
      <c r="N24" s="1">
        <v>2.5</v>
      </c>
      <c r="O24" s="1">
        <v>8.0</v>
      </c>
      <c r="P24" s="1">
        <v>8.5</v>
      </c>
      <c r="Q24" s="1">
        <v>12.0</v>
      </c>
      <c r="R24" s="1">
        <v>14.0</v>
      </c>
      <c r="S24" s="1">
        <v>13.2</v>
      </c>
      <c r="T24" s="1">
        <v>6.0</v>
      </c>
      <c r="U24" s="1">
        <v>7.0</v>
      </c>
      <c r="V24" s="1">
        <v>6.525</v>
      </c>
      <c r="W24" s="1">
        <v>3.0</v>
      </c>
      <c r="X24" s="1">
        <v>4.0</v>
      </c>
      <c r="Y24" s="1">
        <v>3.35</v>
      </c>
      <c r="Z24" s="1">
        <v>10.0</v>
      </c>
      <c r="AA24" s="15">
        <f t="shared" si="3"/>
        <v>2.02</v>
      </c>
      <c r="AB24" s="1">
        <f t="shared" si="4"/>
        <v>0.25</v>
      </c>
      <c r="AD24" s="14">
        <v>0.19</v>
      </c>
      <c r="AE24" s="14">
        <v>0.72</v>
      </c>
      <c r="AF24" s="11">
        <v>2.0</v>
      </c>
      <c r="AG24" s="14">
        <v>2.0</v>
      </c>
      <c r="AH24" s="14">
        <v>5.0</v>
      </c>
      <c r="AI24" s="11" t="b">
        <v>1</v>
      </c>
      <c r="AJ24" s="11" t="b">
        <v>0</v>
      </c>
      <c r="AK24" s="16" t="b">
        <v>0</v>
      </c>
      <c r="AL24" s="11">
        <v>0.036</v>
      </c>
      <c r="AM24" s="11">
        <v>0.071</v>
      </c>
      <c r="AN24" s="11" t="b">
        <v>1</v>
      </c>
      <c r="AO24" s="17" t="s">
        <v>87</v>
      </c>
      <c r="AP24" s="11" t="b">
        <v>1</v>
      </c>
      <c r="AQ24" s="11" t="b">
        <v>1</v>
      </c>
      <c r="AR24" s="1">
        <v>3.0</v>
      </c>
      <c r="AS24" s="1" t="b">
        <v>0</v>
      </c>
      <c r="AT24" s="14">
        <v>9.02</v>
      </c>
      <c r="AU24" s="14">
        <v>0.18</v>
      </c>
      <c r="AV24" s="14">
        <v>0.91</v>
      </c>
      <c r="AW24" s="14">
        <v>0.2</v>
      </c>
      <c r="AX24" s="14">
        <v>0.42</v>
      </c>
      <c r="AY24" s="11">
        <v>2.0</v>
      </c>
      <c r="AZ24" s="11" t="b">
        <v>0</v>
      </c>
      <c r="BA24" s="11" t="b">
        <v>1</v>
      </c>
      <c r="BB24" s="16" t="b">
        <v>0</v>
      </c>
      <c r="BC24" s="16" t="b">
        <v>0</v>
      </c>
      <c r="BD24" s="16" t="b">
        <v>1</v>
      </c>
      <c r="BE24" s="16" t="b">
        <v>1</v>
      </c>
      <c r="BF24" s="1" t="b">
        <v>0</v>
      </c>
      <c r="BG24" s="1" t="b">
        <v>0</v>
      </c>
    </row>
    <row r="25">
      <c r="A25" s="12" t="s">
        <v>134</v>
      </c>
      <c r="B25" s="19" t="s">
        <v>135</v>
      </c>
      <c r="C25" s="19" t="s">
        <v>136</v>
      </c>
      <c r="D25" s="12"/>
      <c r="E25" s="12"/>
      <c r="F25" s="14">
        <v>80.0</v>
      </c>
      <c r="G25" s="14">
        <v>62.5</v>
      </c>
      <c r="H25" s="1" t="s">
        <v>69</v>
      </c>
      <c r="I25" s="1" t="b">
        <v>0</v>
      </c>
      <c r="J25" s="1">
        <v>3.0</v>
      </c>
      <c r="K25" s="1">
        <v>2.0</v>
      </c>
      <c r="L25" s="1">
        <v>4.0</v>
      </c>
      <c r="M25" s="1">
        <v>1.0</v>
      </c>
      <c r="N25" s="1">
        <v>1.0</v>
      </c>
      <c r="O25" s="1">
        <v>7.0</v>
      </c>
      <c r="P25" s="1">
        <v>7.0</v>
      </c>
      <c r="Q25" s="1">
        <v>9.0</v>
      </c>
      <c r="R25" s="1">
        <v>13.0</v>
      </c>
      <c r="S25" s="1">
        <v>11.25</v>
      </c>
      <c r="T25" s="1">
        <v>5.5</v>
      </c>
      <c r="U25" s="1">
        <v>7.0</v>
      </c>
      <c r="V25" s="1">
        <v>6.1</v>
      </c>
      <c r="W25" s="1">
        <v>2.0</v>
      </c>
      <c r="X25" s="1">
        <v>3.0</v>
      </c>
      <c r="Y25" s="1">
        <v>2.45</v>
      </c>
      <c r="Z25" s="1">
        <v>10.0</v>
      </c>
      <c r="AA25" s="15">
        <f t="shared" si="3"/>
        <v>1.84</v>
      </c>
      <c r="AB25" s="1">
        <f t="shared" si="4"/>
        <v>0.22</v>
      </c>
      <c r="AD25" s="14">
        <v>0.12</v>
      </c>
      <c r="AE25" s="14">
        <v>0.79</v>
      </c>
      <c r="AF25" s="11">
        <v>3.0</v>
      </c>
      <c r="AG25" s="14">
        <v>2.0</v>
      </c>
      <c r="AH25" s="14">
        <v>5.0</v>
      </c>
      <c r="AI25" s="11" t="b">
        <v>0</v>
      </c>
      <c r="AJ25" s="11" t="b">
        <v>1</v>
      </c>
      <c r="AK25" s="16" t="b">
        <v>0</v>
      </c>
      <c r="AL25" s="11">
        <v>0.012</v>
      </c>
      <c r="AM25" s="11">
        <v>0.06</v>
      </c>
      <c r="AN25" s="11" t="b">
        <v>0</v>
      </c>
      <c r="AO25" s="17" t="s">
        <v>87</v>
      </c>
      <c r="AP25" s="11" t="b">
        <v>1</v>
      </c>
      <c r="AQ25" s="11" t="b">
        <v>0</v>
      </c>
      <c r="AR25" s="1">
        <v>2.0</v>
      </c>
      <c r="AS25" s="1" t="b">
        <v>1</v>
      </c>
      <c r="AT25" s="14">
        <v>27.0</v>
      </c>
      <c r="AU25" s="14">
        <v>0.14</v>
      </c>
      <c r="AV25" s="14">
        <v>2.44</v>
      </c>
      <c r="AW25" s="14">
        <v>0.0</v>
      </c>
      <c r="AX25" s="14">
        <v>0.55</v>
      </c>
      <c r="AY25" s="11">
        <v>1.0</v>
      </c>
      <c r="AZ25" s="11" t="b">
        <v>0</v>
      </c>
      <c r="BA25" s="11" t="b">
        <v>0</v>
      </c>
      <c r="BB25" s="16" t="b">
        <v>0</v>
      </c>
      <c r="BC25" s="16" t="b">
        <v>0</v>
      </c>
      <c r="BD25" s="16" t="b">
        <v>0</v>
      </c>
      <c r="BE25" s="16" t="b">
        <v>0</v>
      </c>
      <c r="BF25" s="1" t="b">
        <v>0</v>
      </c>
      <c r="BG25" s="1" t="b">
        <v>1</v>
      </c>
    </row>
    <row r="26">
      <c r="A26" s="12">
        <v>140702.0</v>
      </c>
      <c r="B26" s="19"/>
      <c r="C26" s="19"/>
      <c r="D26" s="12"/>
      <c r="E26" s="12"/>
      <c r="F26" s="14">
        <v>100.0</v>
      </c>
      <c r="G26" s="14">
        <v>100.0</v>
      </c>
      <c r="H26" s="1" t="s">
        <v>69</v>
      </c>
      <c r="I26" s="1" t="b">
        <v>0</v>
      </c>
      <c r="J26" s="1">
        <v>3.0</v>
      </c>
      <c r="K26" s="1">
        <v>2.0</v>
      </c>
      <c r="L26" s="1">
        <v>3.0</v>
      </c>
      <c r="M26" s="1">
        <v>1.0</v>
      </c>
      <c r="N26" s="1">
        <v>1.0</v>
      </c>
      <c r="O26" s="1">
        <v>4.0</v>
      </c>
      <c r="P26" s="1">
        <v>5.0</v>
      </c>
      <c r="Q26" s="1">
        <v>12.0</v>
      </c>
      <c r="R26" s="1">
        <v>15.0</v>
      </c>
      <c r="S26" s="1">
        <v>13.25</v>
      </c>
      <c r="T26" s="1">
        <v>5.0</v>
      </c>
      <c r="U26" s="1">
        <v>7.0</v>
      </c>
      <c r="V26" s="1">
        <v>6.05</v>
      </c>
      <c r="W26" s="1">
        <v>3.0</v>
      </c>
      <c r="X26" s="1">
        <v>4.0</v>
      </c>
      <c r="Y26" s="1">
        <v>3.7</v>
      </c>
      <c r="Z26" s="1">
        <v>10.0</v>
      </c>
      <c r="AA26" s="15">
        <f t="shared" si="3"/>
        <v>2.19</v>
      </c>
      <c r="AB26" s="1">
        <f t="shared" si="4"/>
        <v>0.28</v>
      </c>
      <c r="AD26" s="14">
        <v>0.18</v>
      </c>
      <c r="AE26" s="14">
        <v>0.48</v>
      </c>
      <c r="AF26" s="11">
        <v>1.0</v>
      </c>
      <c r="AG26" s="14">
        <v>2.0</v>
      </c>
      <c r="AH26" s="14">
        <v>2.0</v>
      </c>
      <c r="AI26" s="11" t="b">
        <v>1</v>
      </c>
      <c r="AJ26" s="11" t="b">
        <v>0</v>
      </c>
      <c r="AK26" s="16" t="b">
        <v>0</v>
      </c>
      <c r="AL26" s="11">
        <v>0.036</v>
      </c>
      <c r="AM26" s="11">
        <v>0.12</v>
      </c>
      <c r="AN26" s="11" t="b">
        <v>0</v>
      </c>
      <c r="AO26" s="17" t="s">
        <v>87</v>
      </c>
      <c r="AP26" s="11" t="b">
        <v>1</v>
      </c>
      <c r="AQ26" s="11" t="b">
        <v>1</v>
      </c>
      <c r="AR26" s="1">
        <v>2.0</v>
      </c>
      <c r="AS26" s="1" t="b">
        <v>0</v>
      </c>
      <c r="AT26" s="14">
        <v>27.0</v>
      </c>
      <c r="AU26" s="14">
        <v>0.09</v>
      </c>
      <c r="AV26" s="14">
        <v>1.22</v>
      </c>
      <c r="AW26" s="14">
        <v>0.1</v>
      </c>
      <c r="AX26" s="14">
        <v>0.714</v>
      </c>
      <c r="AY26" s="11">
        <v>2.0</v>
      </c>
      <c r="AZ26" s="11" t="b">
        <v>1</v>
      </c>
      <c r="BA26" s="11" t="b">
        <v>0</v>
      </c>
      <c r="BB26" s="16" t="b">
        <v>0</v>
      </c>
      <c r="BC26" s="16" t="b">
        <v>0</v>
      </c>
      <c r="BD26" s="16" t="b">
        <v>0</v>
      </c>
      <c r="BE26" s="16" t="b">
        <v>0</v>
      </c>
      <c r="BF26" s="1" t="b">
        <v>0</v>
      </c>
      <c r="BG26" s="1" t="b">
        <v>0</v>
      </c>
    </row>
    <row r="27">
      <c r="A27" s="12" t="s">
        <v>137</v>
      </c>
      <c r="B27" s="19" t="s">
        <v>138</v>
      </c>
      <c r="C27" s="19" t="s">
        <v>139</v>
      </c>
      <c r="D27" s="12"/>
      <c r="E27" s="12"/>
      <c r="F27" s="14">
        <v>50.0</v>
      </c>
      <c r="G27" s="14">
        <v>30.0</v>
      </c>
      <c r="I27" s="1" t="b">
        <v>0</v>
      </c>
      <c r="J27" s="1">
        <v>3.0</v>
      </c>
      <c r="K27" s="1">
        <v>2.0</v>
      </c>
      <c r="L27" s="1">
        <v>4.5</v>
      </c>
      <c r="M27" s="1">
        <v>1.0</v>
      </c>
      <c r="N27" s="1">
        <v>1.0</v>
      </c>
      <c r="O27" s="1">
        <v>5.0</v>
      </c>
      <c r="P27" s="1">
        <v>5.0</v>
      </c>
      <c r="Q27" s="1">
        <v>10.0</v>
      </c>
      <c r="R27" s="1">
        <v>13.0</v>
      </c>
      <c r="S27" s="1">
        <v>11.2</v>
      </c>
      <c r="T27" s="1">
        <v>4.0</v>
      </c>
      <c r="U27" s="1">
        <v>6.0</v>
      </c>
      <c r="V27" s="1">
        <v>5.25</v>
      </c>
      <c r="W27" s="1">
        <v>2.5</v>
      </c>
      <c r="X27" s="1">
        <v>3.5</v>
      </c>
      <c r="Y27" s="1">
        <v>2.9</v>
      </c>
      <c r="Z27" s="1">
        <v>10.0</v>
      </c>
      <c r="AA27" s="15">
        <f t="shared" si="3"/>
        <v>2.13</v>
      </c>
      <c r="AB27" s="1">
        <f t="shared" si="4"/>
        <v>0.26</v>
      </c>
      <c r="AD27" s="14">
        <v>0.15</v>
      </c>
      <c r="AE27" s="14">
        <v>0.73</v>
      </c>
      <c r="AF27" s="11">
        <v>3.0</v>
      </c>
      <c r="AG27" s="14">
        <v>2.0</v>
      </c>
      <c r="AH27" s="14">
        <v>3.0</v>
      </c>
      <c r="AI27" s="11" t="b">
        <v>1</v>
      </c>
      <c r="AJ27" s="11" t="b">
        <v>0</v>
      </c>
      <c r="AK27" s="16" t="b">
        <v>0</v>
      </c>
      <c r="AL27" s="11">
        <v>0.024</v>
      </c>
      <c r="AM27" s="11">
        <v>0.06</v>
      </c>
      <c r="AN27" s="11" t="b">
        <v>1</v>
      </c>
      <c r="AO27" s="17" t="s">
        <v>87</v>
      </c>
      <c r="AP27" s="11" t="b">
        <v>0</v>
      </c>
      <c r="AQ27" s="11" t="b">
        <v>0</v>
      </c>
      <c r="AR27" s="1">
        <v>1.0</v>
      </c>
      <c r="AS27" s="1" t="b">
        <v>1</v>
      </c>
      <c r="AT27" s="14">
        <v>11.0</v>
      </c>
      <c r="AU27" s="14">
        <v>0.12</v>
      </c>
      <c r="AV27" s="14">
        <v>1.52</v>
      </c>
      <c r="AW27" s="14">
        <v>0.1</v>
      </c>
      <c r="AX27" s="14">
        <v>0.97</v>
      </c>
      <c r="AY27" s="11">
        <v>1.0</v>
      </c>
      <c r="AZ27" s="11" t="b">
        <v>0</v>
      </c>
      <c r="BA27" s="11" t="b">
        <v>1</v>
      </c>
      <c r="BB27" s="16" t="b">
        <v>0</v>
      </c>
      <c r="BC27" s="16" t="b">
        <v>0</v>
      </c>
      <c r="BD27" s="16" t="b">
        <v>0</v>
      </c>
      <c r="BE27" s="16" t="b">
        <v>0</v>
      </c>
      <c r="BF27" s="1" t="b">
        <v>0</v>
      </c>
      <c r="BG27" s="1" t="b">
        <v>1</v>
      </c>
    </row>
    <row r="28">
      <c r="A28" s="18" t="s">
        <v>140</v>
      </c>
      <c r="B28" s="19" t="s">
        <v>141</v>
      </c>
      <c r="C28" s="19" t="s">
        <v>142</v>
      </c>
      <c r="D28" s="12" t="s">
        <v>143</v>
      </c>
      <c r="E28" s="12"/>
      <c r="F28" s="14">
        <v>80.0</v>
      </c>
      <c r="G28" s="14">
        <v>65.0</v>
      </c>
      <c r="H28" s="1" t="s">
        <v>69</v>
      </c>
      <c r="I28" s="1" t="b">
        <v>0</v>
      </c>
      <c r="J28" s="1">
        <v>2.0</v>
      </c>
      <c r="K28" s="1">
        <v>2.0</v>
      </c>
      <c r="L28" s="1">
        <v>4.0</v>
      </c>
      <c r="M28" s="1">
        <v>1.0</v>
      </c>
      <c r="N28" s="1">
        <v>1.0</v>
      </c>
      <c r="O28" s="1">
        <v>5.0</v>
      </c>
      <c r="P28" s="1">
        <v>5.0</v>
      </c>
      <c r="Q28" s="1">
        <v>12.0</v>
      </c>
      <c r="R28" s="1">
        <v>15.0</v>
      </c>
      <c r="S28" s="1">
        <v>13.3</v>
      </c>
      <c r="T28" s="1">
        <v>6.5</v>
      </c>
      <c r="U28" s="1">
        <v>8.0</v>
      </c>
      <c r="V28" s="1">
        <v>7.175</v>
      </c>
      <c r="W28" s="1">
        <v>3.75</v>
      </c>
      <c r="X28" s="1">
        <v>5.0</v>
      </c>
      <c r="Y28" s="1">
        <v>4.375</v>
      </c>
      <c r="Z28" s="1">
        <v>10.0</v>
      </c>
      <c r="AA28" s="15">
        <f t="shared" si="3"/>
        <v>1.85</v>
      </c>
      <c r="AB28" s="1">
        <f t="shared" si="4"/>
        <v>0.33</v>
      </c>
      <c r="AD28" s="14">
        <v>0.2</v>
      </c>
      <c r="AE28" s="14">
        <v>0.61</v>
      </c>
      <c r="AF28" s="11">
        <v>2.0</v>
      </c>
      <c r="AG28" s="14">
        <v>2.0</v>
      </c>
      <c r="AH28" s="14">
        <v>2.0</v>
      </c>
      <c r="AI28" s="11" t="b">
        <v>1</v>
      </c>
      <c r="AJ28" s="11" t="b">
        <v>0</v>
      </c>
      <c r="AK28" s="16" t="b">
        <v>0</v>
      </c>
      <c r="AL28" s="11">
        <v>0.024</v>
      </c>
      <c r="AM28" s="11">
        <v>0.071</v>
      </c>
      <c r="AN28" s="11" t="b">
        <v>0</v>
      </c>
      <c r="AO28" s="17" t="s">
        <v>87</v>
      </c>
      <c r="AP28" s="11" t="b">
        <v>0</v>
      </c>
      <c r="AQ28" s="11" t="b">
        <v>1</v>
      </c>
      <c r="AR28" s="1">
        <v>1.0</v>
      </c>
      <c r="AS28" s="1" t="b">
        <v>0</v>
      </c>
      <c r="AT28" s="14">
        <v>27.0</v>
      </c>
      <c r="AU28" s="14">
        <v>0.2</v>
      </c>
      <c r="AV28" s="14">
        <v>1.34</v>
      </c>
      <c r="AW28" s="14">
        <v>0.1</v>
      </c>
      <c r="AX28" s="14">
        <v>0.42</v>
      </c>
      <c r="AY28" s="11">
        <v>1.0</v>
      </c>
      <c r="AZ28" s="11" t="b">
        <v>1</v>
      </c>
      <c r="BA28" s="11" t="b">
        <v>0</v>
      </c>
      <c r="BB28" s="16" t="b">
        <v>0</v>
      </c>
      <c r="BC28" s="16" t="b">
        <v>0</v>
      </c>
      <c r="BD28" s="16" t="b">
        <v>0</v>
      </c>
      <c r="BE28" s="16" t="b">
        <v>0</v>
      </c>
      <c r="BF28" s="1" t="b">
        <v>0</v>
      </c>
      <c r="BG28" s="1" t="b">
        <v>1</v>
      </c>
    </row>
    <row r="29">
      <c r="A29" s="12" t="s">
        <v>144</v>
      </c>
      <c r="B29" s="19" t="s">
        <v>145</v>
      </c>
      <c r="C29" s="19" t="s">
        <v>146</v>
      </c>
      <c r="D29" s="12" t="s">
        <v>147</v>
      </c>
      <c r="E29" s="12">
        <v>1.0</v>
      </c>
      <c r="F29" s="14">
        <v>87.5</v>
      </c>
      <c r="G29" s="14">
        <v>100.0</v>
      </c>
      <c r="I29" s="1" t="b">
        <v>0</v>
      </c>
      <c r="J29" s="1">
        <v>2.0</v>
      </c>
      <c r="K29" s="1">
        <v>2.0</v>
      </c>
      <c r="L29" s="1">
        <v>4.0</v>
      </c>
      <c r="M29" s="1">
        <v>1.0</v>
      </c>
      <c r="N29" s="1">
        <v>1.0</v>
      </c>
      <c r="O29" s="1">
        <v>5.0</v>
      </c>
      <c r="P29" s="1">
        <v>7.0</v>
      </c>
      <c r="Q29" s="1">
        <v>11.0</v>
      </c>
      <c r="R29" s="1">
        <v>13.0</v>
      </c>
      <c r="S29" s="1">
        <v>11.9</v>
      </c>
      <c r="T29" s="1">
        <v>6.0</v>
      </c>
      <c r="U29" s="1">
        <v>8.0</v>
      </c>
      <c r="V29" s="1">
        <v>6.9</v>
      </c>
      <c r="W29" s="1">
        <v>2.0</v>
      </c>
      <c r="X29" s="1">
        <v>3.5</v>
      </c>
      <c r="Y29" s="1">
        <v>2.975</v>
      </c>
      <c r="Z29" s="1">
        <v>10.0</v>
      </c>
      <c r="AA29" s="15">
        <f t="shared" si="3"/>
        <v>1.72</v>
      </c>
      <c r="AB29" s="1">
        <f t="shared" si="4"/>
        <v>0.25</v>
      </c>
      <c r="AD29" s="14">
        <v>0.19</v>
      </c>
      <c r="AE29" s="14">
        <v>0.68</v>
      </c>
      <c r="AF29" s="11">
        <v>3.0</v>
      </c>
      <c r="AG29" s="14">
        <v>2.0</v>
      </c>
      <c r="AH29" s="14">
        <v>4.0</v>
      </c>
      <c r="AI29" s="11" t="b">
        <v>1</v>
      </c>
      <c r="AJ29" s="11" t="b">
        <v>0</v>
      </c>
      <c r="AK29" s="16" t="b">
        <v>0</v>
      </c>
      <c r="AL29" s="11">
        <v>0.012</v>
      </c>
      <c r="AM29" s="11">
        <v>0.071</v>
      </c>
      <c r="AN29" s="11" t="b">
        <v>1</v>
      </c>
      <c r="AO29" s="17" t="s">
        <v>87</v>
      </c>
      <c r="AP29" s="11" t="b">
        <v>1</v>
      </c>
      <c r="AQ29" s="11" t="b">
        <v>0</v>
      </c>
      <c r="AR29" s="1">
        <v>1.0</v>
      </c>
      <c r="AS29" s="1" t="b">
        <v>0</v>
      </c>
      <c r="AT29" s="14">
        <v>22.5</v>
      </c>
      <c r="AU29" s="14">
        <v>0.24</v>
      </c>
      <c r="AV29" s="14">
        <v>0.9</v>
      </c>
      <c r="AW29" s="14">
        <v>0.1</v>
      </c>
      <c r="AX29" s="14">
        <v>0.61</v>
      </c>
      <c r="AY29" s="11">
        <v>1.0</v>
      </c>
      <c r="AZ29" s="11" t="b">
        <v>1</v>
      </c>
      <c r="BA29" s="11" t="b">
        <v>0</v>
      </c>
      <c r="BB29" s="16" t="b">
        <v>0</v>
      </c>
      <c r="BC29" s="16" t="b">
        <v>0</v>
      </c>
      <c r="BD29" s="16" t="b">
        <v>0</v>
      </c>
      <c r="BE29" s="16" t="b">
        <v>0</v>
      </c>
      <c r="BF29" s="1" t="b">
        <v>0</v>
      </c>
      <c r="BG29" s="1" t="b">
        <v>1</v>
      </c>
    </row>
    <row r="30">
      <c r="A30" s="12" t="s">
        <v>148</v>
      </c>
      <c r="B30" s="19" t="s">
        <v>94</v>
      </c>
      <c r="C30" s="19" t="s">
        <v>95</v>
      </c>
      <c r="D30" s="12" t="s">
        <v>149</v>
      </c>
      <c r="E30" s="12">
        <v>2.0</v>
      </c>
      <c r="F30" s="14">
        <v>62.5</v>
      </c>
      <c r="G30" s="14">
        <v>92.5</v>
      </c>
      <c r="H30" s="1" t="s">
        <v>69</v>
      </c>
      <c r="I30" s="1" t="b">
        <v>0</v>
      </c>
      <c r="J30" s="1">
        <v>1.0</v>
      </c>
      <c r="K30" s="1">
        <v>2.0</v>
      </c>
      <c r="L30" s="1">
        <v>3.0</v>
      </c>
      <c r="M30" s="1">
        <v>1.0</v>
      </c>
      <c r="N30" s="1">
        <v>1.0</v>
      </c>
      <c r="O30" s="1">
        <v>5.0</v>
      </c>
      <c r="P30" s="1">
        <v>5.0</v>
      </c>
      <c r="Q30" s="1">
        <v>9.0</v>
      </c>
      <c r="R30" s="1">
        <v>12.0</v>
      </c>
      <c r="S30" s="1">
        <v>10.6</v>
      </c>
      <c r="T30" s="1">
        <v>4.0</v>
      </c>
      <c r="U30" s="1">
        <v>5.0</v>
      </c>
      <c r="V30" s="1">
        <v>4.325</v>
      </c>
      <c r="W30" s="1">
        <v>2.5</v>
      </c>
      <c r="X30" s="1">
        <v>4.0</v>
      </c>
      <c r="Y30" s="1">
        <v>3.225</v>
      </c>
      <c r="Z30" s="1">
        <v>10.0</v>
      </c>
      <c r="AA30" s="15">
        <f t="shared" si="3"/>
        <v>2.45</v>
      </c>
      <c r="AB30" s="1">
        <f t="shared" si="4"/>
        <v>0.3</v>
      </c>
      <c r="AD30" s="14">
        <v>0.15</v>
      </c>
      <c r="AE30" s="14">
        <v>0.42</v>
      </c>
      <c r="AF30" s="11">
        <v>2.0</v>
      </c>
      <c r="AG30" s="14">
        <v>2.0</v>
      </c>
      <c r="AH30" s="14">
        <v>4.0</v>
      </c>
      <c r="AI30" s="11" t="b">
        <v>1</v>
      </c>
      <c r="AJ30" s="11" t="b">
        <v>0</v>
      </c>
      <c r="AK30" s="16" t="b">
        <v>0</v>
      </c>
      <c r="AL30" s="11">
        <v>0.024</v>
      </c>
      <c r="AM30" s="11">
        <v>0.085</v>
      </c>
      <c r="AN30" s="11" t="b">
        <v>0</v>
      </c>
      <c r="AO30" s="17" t="s">
        <v>150</v>
      </c>
      <c r="AP30" s="11" t="b">
        <v>1</v>
      </c>
      <c r="AQ30" s="11" t="b">
        <v>0</v>
      </c>
      <c r="AR30" s="1">
        <v>1.0</v>
      </c>
      <c r="AS30" s="1" t="b">
        <v>0</v>
      </c>
      <c r="AT30" s="14">
        <v>14.0</v>
      </c>
      <c r="AU30" s="14">
        <v>0.1</v>
      </c>
      <c r="AV30" s="14">
        <v>0.6</v>
      </c>
      <c r="AW30" s="14">
        <v>0.048</v>
      </c>
      <c r="AX30" s="14">
        <v>0.42</v>
      </c>
      <c r="AY30" s="11">
        <v>2.0</v>
      </c>
      <c r="AZ30" s="11" t="b">
        <v>0</v>
      </c>
      <c r="BA30" s="11" t="b">
        <v>1</v>
      </c>
      <c r="BB30" s="16" t="b">
        <v>0</v>
      </c>
      <c r="BC30" s="16" t="b">
        <v>0</v>
      </c>
      <c r="BD30" s="16" t="b">
        <v>0</v>
      </c>
      <c r="BE30" s="16" t="b">
        <v>0</v>
      </c>
      <c r="BF30" s="1" t="b">
        <v>0</v>
      </c>
      <c r="BG30" s="1" t="b">
        <v>0</v>
      </c>
    </row>
    <row r="31">
      <c r="A31" s="12" t="s">
        <v>151</v>
      </c>
      <c r="B31" s="19" t="s">
        <v>152</v>
      </c>
      <c r="C31" s="19" t="s">
        <v>153</v>
      </c>
      <c r="D31" s="12" t="s">
        <v>154</v>
      </c>
      <c r="E31" s="12">
        <v>2.0</v>
      </c>
      <c r="F31" s="14">
        <v>62.5</v>
      </c>
      <c r="G31" s="14">
        <v>50.0</v>
      </c>
      <c r="H31" s="1" t="s">
        <v>69</v>
      </c>
      <c r="I31" s="1" t="b">
        <v>0</v>
      </c>
      <c r="J31" s="1">
        <v>2.0</v>
      </c>
      <c r="K31" s="1">
        <v>3.0</v>
      </c>
      <c r="L31" s="1">
        <v>4.0</v>
      </c>
      <c r="M31" s="1">
        <v>2.0</v>
      </c>
      <c r="N31" s="1">
        <v>2.0</v>
      </c>
      <c r="O31" s="1">
        <v>3.0</v>
      </c>
      <c r="P31" s="1">
        <v>5.5</v>
      </c>
      <c r="Q31" s="1">
        <v>12.0</v>
      </c>
      <c r="R31" s="1">
        <v>15.0</v>
      </c>
      <c r="S31" s="1">
        <v>12.7</v>
      </c>
      <c r="T31" s="1">
        <v>5.0</v>
      </c>
      <c r="U31" s="1">
        <v>6.25</v>
      </c>
      <c r="V31" s="1">
        <v>5.625</v>
      </c>
      <c r="W31" s="1">
        <v>3.0</v>
      </c>
      <c r="X31" s="1">
        <v>4.0</v>
      </c>
      <c r="Y31" s="1">
        <v>3.825</v>
      </c>
      <c r="Z31" s="1">
        <v>10.0</v>
      </c>
      <c r="AA31" s="15">
        <f t="shared" si="3"/>
        <v>2.26</v>
      </c>
      <c r="AB31" s="1">
        <f t="shared" si="4"/>
        <v>0.3</v>
      </c>
      <c r="AD31" s="14">
        <v>0.14</v>
      </c>
      <c r="AE31" s="14">
        <v>0.61</v>
      </c>
      <c r="AF31" s="11">
        <v>2.0</v>
      </c>
      <c r="AG31" s="14">
        <v>2.0</v>
      </c>
      <c r="AH31" s="11">
        <v>5.0</v>
      </c>
      <c r="AI31" s="11" t="b">
        <v>1</v>
      </c>
      <c r="AJ31" s="11" t="b">
        <v>0</v>
      </c>
      <c r="AK31" s="16" t="b">
        <v>0</v>
      </c>
      <c r="AL31" s="11">
        <v>0.018</v>
      </c>
      <c r="AM31" s="11">
        <v>0.048</v>
      </c>
      <c r="AN31" s="11" t="b">
        <v>0</v>
      </c>
      <c r="AO31" s="17" t="s">
        <v>87</v>
      </c>
      <c r="AP31" s="11" t="b">
        <v>1</v>
      </c>
      <c r="AQ31" s="11" t="b">
        <v>0</v>
      </c>
      <c r="AR31" s="1">
        <v>2.0</v>
      </c>
      <c r="AS31" s="1" t="b">
        <v>0</v>
      </c>
      <c r="AT31" s="14">
        <v>14.62</v>
      </c>
      <c r="AU31" s="14">
        <v>0.1</v>
      </c>
      <c r="AV31" s="14">
        <v>1.2</v>
      </c>
      <c r="AW31" s="14">
        <v>0.12</v>
      </c>
      <c r="AX31" s="14">
        <v>0.42</v>
      </c>
      <c r="AY31" s="11">
        <v>1.0</v>
      </c>
      <c r="AZ31" s="11" t="b">
        <v>0</v>
      </c>
      <c r="BA31" s="11" t="b">
        <v>0</v>
      </c>
      <c r="BB31" s="16" t="b">
        <v>0</v>
      </c>
      <c r="BC31" s="16" t="b">
        <v>0</v>
      </c>
      <c r="BD31" s="16" t="b">
        <v>0</v>
      </c>
      <c r="BE31" s="16" t="b">
        <v>0</v>
      </c>
      <c r="BF31" s="1" t="b">
        <v>1</v>
      </c>
      <c r="BG31" s="1" t="b">
        <v>0</v>
      </c>
    </row>
    <row r="32">
      <c r="A32" s="12" t="s">
        <v>155</v>
      </c>
      <c r="B32" s="19"/>
      <c r="C32" s="19"/>
      <c r="D32" s="12" t="s">
        <v>156</v>
      </c>
      <c r="E32" s="12">
        <v>3.0</v>
      </c>
      <c r="F32" s="14">
        <v>90.0</v>
      </c>
      <c r="G32" s="14">
        <v>57.5</v>
      </c>
      <c r="H32" s="1" t="s">
        <v>69</v>
      </c>
      <c r="I32" s="1" t="b">
        <v>0</v>
      </c>
      <c r="J32" s="1">
        <v>2.0</v>
      </c>
      <c r="K32" s="1">
        <v>2.5</v>
      </c>
      <c r="L32" s="1">
        <v>4.0</v>
      </c>
      <c r="M32" s="1">
        <v>3.0</v>
      </c>
      <c r="N32" s="1">
        <v>3.0</v>
      </c>
      <c r="O32" s="1">
        <v>9.0</v>
      </c>
      <c r="P32" s="1">
        <v>9.0</v>
      </c>
      <c r="Q32" s="1">
        <v>10.0</v>
      </c>
      <c r="R32" s="1">
        <v>14.5</v>
      </c>
      <c r="S32" s="1">
        <v>11.2</v>
      </c>
      <c r="T32" s="1">
        <v>5.0</v>
      </c>
      <c r="U32" s="1">
        <v>7.5</v>
      </c>
      <c r="V32" s="1">
        <v>5.575</v>
      </c>
      <c r="W32" s="1">
        <v>2.0</v>
      </c>
      <c r="X32" s="1">
        <v>4.0</v>
      </c>
      <c r="Y32" s="1">
        <v>2.85</v>
      </c>
      <c r="Z32" s="1">
        <v>10.0</v>
      </c>
      <c r="AA32" s="15">
        <f t="shared" si="3"/>
        <v>2.01</v>
      </c>
      <c r="AB32" s="1">
        <f t="shared" si="4"/>
        <v>0.25</v>
      </c>
      <c r="AD32" s="14">
        <v>0.25</v>
      </c>
      <c r="AE32" s="14">
        <v>0.7</v>
      </c>
      <c r="AF32" s="11">
        <v>2.0</v>
      </c>
      <c r="AG32" s="14">
        <v>2.0</v>
      </c>
      <c r="AH32" s="14">
        <v>5.0</v>
      </c>
      <c r="AI32" s="11" t="b">
        <v>1</v>
      </c>
      <c r="AJ32" s="11" t="b">
        <v>0</v>
      </c>
      <c r="AK32" s="16" t="b">
        <v>0</v>
      </c>
      <c r="AL32" s="11">
        <v>0.018</v>
      </c>
      <c r="AM32" s="11">
        <v>0.048</v>
      </c>
      <c r="AN32" s="11" t="b">
        <v>1</v>
      </c>
      <c r="AO32" s="17" t="s">
        <v>87</v>
      </c>
      <c r="AP32" s="11" t="b">
        <v>0</v>
      </c>
      <c r="AQ32" s="11" t="b">
        <v>0</v>
      </c>
      <c r="AR32" s="1">
        <v>1.0</v>
      </c>
      <c r="AS32" s="1" t="b">
        <v>1</v>
      </c>
      <c r="AT32" s="14">
        <v>30.8</v>
      </c>
      <c r="AU32" s="14">
        <v>0.12</v>
      </c>
      <c r="AV32" s="14">
        <v>0.571</v>
      </c>
      <c r="AW32" s="14">
        <v>0.0</v>
      </c>
      <c r="AX32" s="14">
        <v>0.524</v>
      </c>
      <c r="AY32" s="11">
        <v>1.0</v>
      </c>
      <c r="AZ32" s="11" t="b">
        <v>0</v>
      </c>
      <c r="BA32" s="11" t="b">
        <v>1</v>
      </c>
      <c r="BB32" s="16" t="b">
        <v>0</v>
      </c>
      <c r="BC32" s="16" t="b">
        <v>0</v>
      </c>
      <c r="BD32" s="16" t="b">
        <v>0</v>
      </c>
      <c r="BE32" s="16" t="b">
        <v>0</v>
      </c>
      <c r="BF32" s="1" t="b">
        <v>0</v>
      </c>
      <c r="BG32" s="1" t="b">
        <v>1</v>
      </c>
    </row>
    <row r="33">
      <c r="A33" s="12" t="s">
        <v>157</v>
      </c>
      <c r="B33" s="19" t="s">
        <v>158</v>
      </c>
      <c r="C33" s="19" t="s">
        <v>159</v>
      </c>
      <c r="D33" s="12" t="s">
        <v>160</v>
      </c>
      <c r="E33" s="12">
        <v>1.0</v>
      </c>
      <c r="F33" s="14">
        <v>55.0</v>
      </c>
      <c r="G33" s="14">
        <v>32.5</v>
      </c>
      <c r="H33" s="1" t="s">
        <v>69</v>
      </c>
      <c r="I33" s="1" t="b">
        <v>0</v>
      </c>
      <c r="J33" s="1">
        <v>2.0</v>
      </c>
      <c r="K33" s="1">
        <v>2.5</v>
      </c>
      <c r="L33" s="1">
        <v>4.0</v>
      </c>
      <c r="M33" s="1">
        <v>1.5</v>
      </c>
      <c r="N33" s="1">
        <v>1.5</v>
      </c>
      <c r="O33" s="1">
        <v>5.0</v>
      </c>
      <c r="P33" s="1">
        <v>5.0</v>
      </c>
      <c r="Q33" s="1">
        <v>12.5</v>
      </c>
      <c r="R33" s="1">
        <v>15.0</v>
      </c>
      <c r="S33" s="1">
        <v>13.65</v>
      </c>
      <c r="T33" s="1">
        <v>5.0</v>
      </c>
      <c r="U33" s="1">
        <v>7.5</v>
      </c>
      <c r="V33" s="1">
        <v>6.575</v>
      </c>
      <c r="W33" s="1">
        <v>2.0</v>
      </c>
      <c r="X33" s="1">
        <v>3.0</v>
      </c>
      <c r="Y33" s="1">
        <v>2.4</v>
      </c>
      <c r="Z33" s="1">
        <v>10.0</v>
      </c>
      <c r="AA33" s="15">
        <f t="shared" si="3"/>
        <v>2.08</v>
      </c>
      <c r="AB33" s="1">
        <f t="shared" si="4"/>
        <v>0.18</v>
      </c>
      <c r="AC33" s="1">
        <v>73.75</v>
      </c>
      <c r="AD33" s="14">
        <v>0.2</v>
      </c>
      <c r="AE33" s="14">
        <v>0.45</v>
      </c>
      <c r="AF33" s="11">
        <v>1.0</v>
      </c>
      <c r="AG33" s="14">
        <v>2.0</v>
      </c>
      <c r="AH33" s="14">
        <v>3.0</v>
      </c>
      <c r="AI33" s="11" t="b">
        <v>1</v>
      </c>
      <c r="AJ33" s="11" t="b">
        <v>0</v>
      </c>
      <c r="AK33" s="16" t="b">
        <v>0</v>
      </c>
      <c r="AL33" s="11">
        <v>0.025</v>
      </c>
      <c r="AM33" s="11">
        <v>0.065</v>
      </c>
      <c r="AN33" s="11" t="b">
        <v>0</v>
      </c>
      <c r="AO33" s="17" t="s">
        <v>87</v>
      </c>
      <c r="AP33" s="11" t="b">
        <v>1</v>
      </c>
      <c r="AQ33" s="11" t="b">
        <v>0</v>
      </c>
      <c r="AR33" s="1">
        <v>2.0</v>
      </c>
      <c r="AS33" s="1" t="b">
        <v>1</v>
      </c>
      <c r="AT33" s="14">
        <v>30.0</v>
      </c>
      <c r="AU33" s="14">
        <v>0.07</v>
      </c>
      <c r="AV33" s="14">
        <v>1.1</v>
      </c>
      <c r="AW33" s="14">
        <v>0.05</v>
      </c>
      <c r="AX33" s="14">
        <v>0.48</v>
      </c>
      <c r="AY33" s="11">
        <v>1.0</v>
      </c>
      <c r="AZ33" s="11" t="b">
        <v>1</v>
      </c>
      <c r="BA33" s="11" t="b">
        <v>0</v>
      </c>
      <c r="BB33" s="16" t="b">
        <v>0</v>
      </c>
      <c r="BC33" s="16" t="b">
        <v>0</v>
      </c>
      <c r="BD33" s="16" t="b">
        <v>0</v>
      </c>
      <c r="BE33" s="16" t="b">
        <v>0</v>
      </c>
      <c r="BF33" s="1" t="b">
        <v>1</v>
      </c>
      <c r="BG33" s="1" t="b">
        <v>0</v>
      </c>
    </row>
    <row r="34">
      <c r="A34" s="12" t="s">
        <v>161</v>
      </c>
      <c r="B34" s="19" t="s">
        <v>125</v>
      </c>
      <c r="C34" s="19" t="s">
        <v>126</v>
      </c>
      <c r="D34" s="12"/>
      <c r="E34" s="12"/>
      <c r="F34" s="14">
        <v>82.5</v>
      </c>
      <c r="G34" s="14">
        <v>62.5</v>
      </c>
      <c r="H34" s="1" t="s">
        <v>69</v>
      </c>
      <c r="I34" s="1" t="b">
        <v>0</v>
      </c>
      <c r="J34" s="1">
        <v>3.0</v>
      </c>
      <c r="K34" s="1">
        <v>3.0</v>
      </c>
      <c r="L34" s="1">
        <v>5.0</v>
      </c>
      <c r="M34" s="1">
        <v>1.5</v>
      </c>
      <c r="N34" s="1">
        <v>1.5</v>
      </c>
      <c r="O34" s="1">
        <v>5.0</v>
      </c>
      <c r="P34" s="1">
        <v>8.0</v>
      </c>
      <c r="Q34" s="1">
        <v>10.0</v>
      </c>
      <c r="R34" s="1">
        <v>12.5</v>
      </c>
      <c r="S34" s="1">
        <v>11.2</v>
      </c>
      <c r="T34" s="1">
        <v>3.25</v>
      </c>
      <c r="U34" s="1">
        <v>6.0</v>
      </c>
      <c r="V34" s="1">
        <v>4.775</v>
      </c>
      <c r="W34" s="1">
        <v>2.5</v>
      </c>
      <c r="X34" s="1">
        <v>3.75</v>
      </c>
      <c r="Y34" s="1">
        <v>3.35</v>
      </c>
      <c r="Z34" s="1">
        <v>10.0</v>
      </c>
      <c r="AA34" s="15">
        <f t="shared" si="3"/>
        <v>2.35</v>
      </c>
      <c r="AB34" s="1">
        <f t="shared" si="4"/>
        <v>0.3</v>
      </c>
      <c r="AD34" s="14">
        <v>0.2</v>
      </c>
      <c r="AE34" s="14">
        <v>0.7</v>
      </c>
      <c r="AF34" s="11">
        <v>2.0</v>
      </c>
      <c r="AG34" s="14">
        <v>2.0</v>
      </c>
      <c r="AH34" s="14">
        <v>3.0</v>
      </c>
      <c r="AI34" s="11" t="b">
        <v>1</v>
      </c>
      <c r="AJ34" s="11" t="b">
        <v>0</v>
      </c>
      <c r="AK34" s="16" t="b">
        <v>0</v>
      </c>
      <c r="AL34" s="11">
        <v>0.048</v>
      </c>
      <c r="AM34" s="11">
        <v>0.12</v>
      </c>
      <c r="AN34" s="11" t="b">
        <v>1</v>
      </c>
      <c r="AO34" s="17" t="s">
        <v>87</v>
      </c>
      <c r="AP34" s="11" t="b">
        <v>0</v>
      </c>
      <c r="AQ34" s="11" t="b">
        <v>0</v>
      </c>
      <c r="AR34" s="1">
        <v>2.0</v>
      </c>
      <c r="AS34" s="1" t="b">
        <v>1</v>
      </c>
      <c r="AT34" s="14">
        <v>23.0</v>
      </c>
      <c r="AU34" s="14">
        <v>0.3</v>
      </c>
      <c r="AV34" s="14">
        <v>0.9</v>
      </c>
      <c r="AW34" s="14">
        <v>0.1</v>
      </c>
      <c r="AX34" s="14">
        <v>0.45</v>
      </c>
      <c r="AY34" s="11">
        <v>1.0</v>
      </c>
      <c r="AZ34" s="11" t="b">
        <v>0</v>
      </c>
      <c r="BA34" s="11" t="b">
        <v>0</v>
      </c>
      <c r="BB34" s="16" t="b">
        <v>0</v>
      </c>
      <c r="BC34" s="16" t="b">
        <v>0</v>
      </c>
      <c r="BD34" s="16" t="b">
        <v>0</v>
      </c>
      <c r="BE34" s="16" t="b">
        <v>0</v>
      </c>
      <c r="BF34" s="1" t="b">
        <v>0</v>
      </c>
      <c r="BG34" s="1" t="b">
        <v>0</v>
      </c>
    </row>
    <row r="35">
      <c r="A35" s="12" t="s">
        <v>162</v>
      </c>
      <c r="B35" s="19" t="s">
        <v>163</v>
      </c>
      <c r="C35" s="19" t="s">
        <v>164</v>
      </c>
      <c r="D35" s="12" t="s">
        <v>165</v>
      </c>
      <c r="E35" s="12">
        <v>2.0</v>
      </c>
      <c r="F35" s="14">
        <v>75.0</v>
      </c>
      <c r="G35" s="14">
        <v>52.5</v>
      </c>
      <c r="H35" s="1" t="s">
        <v>69</v>
      </c>
      <c r="I35" s="1" t="b">
        <v>0</v>
      </c>
      <c r="J35" s="1">
        <v>2.0</v>
      </c>
      <c r="K35" s="1">
        <v>3.0</v>
      </c>
      <c r="L35" s="1">
        <v>3.5</v>
      </c>
      <c r="M35" s="1">
        <v>1.5</v>
      </c>
      <c r="N35" s="1">
        <v>1.5</v>
      </c>
      <c r="O35" s="1">
        <v>4.0</v>
      </c>
      <c r="P35" s="1">
        <v>5.0</v>
      </c>
      <c r="Q35" s="1">
        <v>10.5</v>
      </c>
      <c r="R35" s="1">
        <v>14.0</v>
      </c>
      <c r="S35" s="1">
        <v>11.58</v>
      </c>
      <c r="T35" s="1">
        <v>4.0</v>
      </c>
      <c r="U35" s="1">
        <v>5.0</v>
      </c>
      <c r="V35" s="1">
        <v>4.5</v>
      </c>
      <c r="W35" s="1">
        <v>3.0</v>
      </c>
      <c r="X35" s="1">
        <v>4.0</v>
      </c>
      <c r="Y35" s="1">
        <v>3.33</v>
      </c>
      <c r="Z35" s="1">
        <v>6.0</v>
      </c>
      <c r="AA35" s="15">
        <f t="shared" si="3"/>
        <v>2.57</v>
      </c>
      <c r="AB35" s="1">
        <f t="shared" si="4"/>
        <v>0.29</v>
      </c>
      <c r="AD35" s="14">
        <v>0.24</v>
      </c>
      <c r="AE35" s="14">
        <v>0.61</v>
      </c>
      <c r="AF35" s="11">
        <v>1.0</v>
      </c>
      <c r="AG35" s="14">
        <v>2.0</v>
      </c>
      <c r="AH35" s="14">
        <v>4.0</v>
      </c>
      <c r="AI35" s="11" t="b">
        <v>1</v>
      </c>
      <c r="AJ35" s="11" t="b">
        <v>0</v>
      </c>
      <c r="AK35" s="16" t="b">
        <v>0</v>
      </c>
      <c r="AL35" s="11">
        <v>0.024</v>
      </c>
      <c r="AM35" s="11">
        <v>0.048</v>
      </c>
      <c r="AN35" s="11" t="b">
        <v>0</v>
      </c>
      <c r="AO35" s="17" t="s">
        <v>87</v>
      </c>
      <c r="AP35" s="11" t="b">
        <v>0</v>
      </c>
      <c r="AQ35" s="11" t="b">
        <v>0</v>
      </c>
      <c r="AR35" s="1">
        <v>2.0</v>
      </c>
      <c r="AS35" s="1" t="b">
        <v>1</v>
      </c>
      <c r="AT35" s="14">
        <v>13.8</v>
      </c>
      <c r="AU35" s="14">
        <v>0.12</v>
      </c>
      <c r="AV35" s="14">
        <v>0.48</v>
      </c>
      <c r="AW35" s="14">
        <v>0.0</v>
      </c>
      <c r="AX35" s="14">
        <v>0.238</v>
      </c>
      <c r="AY35" s="11">
        <v>1.0</v>
      </c>
      <c r="AZ35" s="11" t="b">
        <v>0</v>
      </c>
      <c r="BA35" s="11" t="b">
        <v>0</v>
      </c>
      <c r="BB35" s="16" t="b">
        <v>0</v>
      </c>
      <c r="BC35" s="16" t="b">
        <v>0</v>
      </c>
      <c r="BD35" s="16" t="b">
        <v>0</v>
      </c>
      <c r="BE35" s="16" t="b">
        <v>0</v>
      </c>
      <c r="BF35" s="1" t="b">
        <v>1</v>
      </c>
      <c r="BG35" s="1" t="b">
        <v>0</v>
      </c>
    </row>
    <row r="36">
      <c r="A36" s="12" t="s">
        <v>166</v>
      </c>
      <c r="B36" s="19" t="s">
        <v>167</v>
      </c>
      <c r="C36" s="19" t="s">
        <v>168</v>
      </c>
      <c r="D36" s="12" t="s">
        <v>169</v>
      </c>
      <c r="E36" s="12">
        <v>3.0</v>
      </c>
      <c r="F36" s="14">
        <v>80.0</v>
      </c>
      <c r="G36" s="14">
        <v>50.0</v>
      </c>
      <c r="H36" s="1" t="s">
        <v>69</v>
      </c>
      <c r="I36" s="1" t="b">
        <v>0</v>
      </c>
      <c r="J36" s="1">
        <v>1.0</v>
      </c>
      <c r="K36" s="1">
        <v>2.5</v>
      </c>
      <c r="L36" s="1">
        <v>4.0</v>
      </c>
      <c r="M36" s="1">
        <v>2.0</v>
      </c>
      <c r="N36" s="1">
        <v>2.0</v>
      </c>
      <c r="O36" s="1">
        <v>5.0</v>
      </c>
      <c r="P36" s="1">
        <v>5.0</v>
      </c>
      <c r="Q36" s="1">
        <v>11.0</v>
      </c>
      <c r="R36" s="1">
        <v>13.5</v>
      </c>
      <c r="S36" s="1">
        <v>12.25</v>
      </c>
      <c r="T36" s="1">
        <v>5.0</v>
      </c>
      <c r="U36" s="1">
        <v>6.0</v>
      </c>
      <c r="V36" s="1">
        <v>5.55</v>
      </c>
      <c r="W36" s="1">
        <v>2.5</v>
      </c>
      <c r="X36" s="1">
        <v>4.0</v>
      </c>
      <c r="Y36" s="1">
        <v>3.125</v>
      </c>
      <c r="Z36" s="1">
        <v>10.0</v>
      </c>
      <c r="AA36" s="15">
        <f t="shared" si="3"/>
        <v>2.21</v>
      </c>
      <c r="AB36" s="1">
        <f t="shared" si="4"/>
        <v>0.26</v>
      </c>
      <c r="AC36" s="1">
        <v>61.25</v>
      </c>
      <c r="AD36" s="14">
        <v>0.07</v>
      </c>
      <c r="AE36" s="14">
        <v>0.42</v>
      </c>
      <c r="AF36" s="11">
        <v>1.0</v>
      </c>
      <c r="AG36" s="14">
        <v>2.0</v>
      </c>
      <c r="AH36" s="14">
        <v>4.0</v>
      </c>
      <c r="AI36" s="11" t="b">
        <v>1</v>
      </c>
      <c r="AJ36" s="11" t="b">
        <v>0</v>
      </c>
      <c r="AK36" s="16" t="b">
        <v>0</v>
      </c>
      <c r="AL36" s="11">
        <v>0.024</v>
      </c>
      <c r="AM36" s="11">
        <v>0.048</v>
      </c>
      <c r="AN36" s="11" t="b">
        <v>0</v>
      </c>
      <c r="AO36" s="17" t="s">
        <v>87</v>
      </c>
      <c r="AP36" s="11" t="b">
        <v>1</v>
      </c>
      <c r="AQ36" s="11" t="b">
        <v>0</v>
      </c>
      <c r="AR36" s="1">
        <v>3.0</v>
      </c>
      <c r="AS36" s="1" t="b">
        <v>1</v>
      </c>
      <c r="AT36" s="14">
        <v>8.0</v>
      </c>
      <c r="AU36" s="14">
        <v>0.2</v>
      </c>
      <c r="AV36" s="14">
        <v>0.8</v>
      </c>
      <c r="AW36" s="14">
        <v>0.0</v>
      </c>
      <c r="AX36" s="14">
        <v>0.42</v>
      </c>
      <c r="AY36" s="11">
        <v>1.0</v>
      </c>
      <c r="AZ36" s="11" t="b">
        <v>0</v>
      </c>
      <c r="BA36" s="11" t="b">
        <v>0</v>
      </c>
      <c r="BB36" s="16" t="b">
        <v>0</v>
      </c>
      <c r="BC36" s="16" t="b">
        <v>0</v>
      </c>
      <c r="BD36" s="16" t="b">
        <v>0</v>
      </c>
      <c r="BE36" s="16" t="b">
        <v>0</v>
      </c>
      <c r="BF36" s="1" t="b">
        <v>0</v>
      </c>
      <c r="BG36" s="1" t="b">
        <v>0</v>
      </c>
    </row>
    <row r="37">
      <c r="A37" s="12">
        <v>34023.0</v>
      </c>
      <c r="B37" s="22" t="s">
        <v>170</v>
      </c>
      <c r="C37" s="22" t="s">
        <v>171</v>
      </c>
      <c r="D37" s="1" t="s">
        <v>172</v>
      </c>
      <c r="E37" s="12">
        <v>3.0</v>
      </c>
      <c r="F37" s="1">
        <v>75.0</v>
      </c>
      <c r="G37" s="1">
        <v>47.5</v>
      </c>
      <c r="H37" s="1" t="s">
        <v>69</v>
      </c>
      <c r="I37" s="1" t="b">
        <v>0</v>
      </c>
      <c r="J37" s="1">
        <v>2.0</v>
      </c>
      <c r="K37" s="1">
        <v>2.0</v>
      </c>
      <c r="L37" s="1">
        <v>5.0</v>
      </c>
      <c r="M37" s="1">
        <v>1.5</v>
      </c>
      <c r="N37" s="1">
        <v>1.5</v>
      </c>
      <c r="O37" s="1">
        <v>5.0</v>
      </c>
      <c r="P37" s="1">
        <v>5.0</v>
      </c>
      <c r="Q37" s="1">
        <v>10.0</v>
      </c>
      <c r="R37" s="1">
        <v>15.0</v>
      </c>
      <c r="S37" s="23">
        <v>12.8</v>
      </c>
      <c r="T37" s="1">
        <v>5.0</v>
      </c>
      <c r="U37" s="1">
        <v>6.0</v>
      </c>
      <c r="V37" s="1">
        <v>5.525</v>
      </c>
      <c r="W37" s="1">
        <v>3.0</v>
      </c>
      <c r="X37" s="1">
        <v>4.0</v>
      </c>
      <c r="Y37" s="1">
        <v>3.525</v>
      </c>
      <c r="Z37" s="1">
        <v>10.0</v>
      </c>
      <c r="AA37" s="15">
        <f t="shared" si="3"/>
        <v>2.32</v>
      </c>
      <c r="AB37" s="1">
        <f t="shared" si="4"/>
        <v>0.28</v>
      </c>
      <c r="AD37" s="1">
        <v>0.18</v>
      </c>
      <c r="AE37" s="1">
        <v>0.48</v>
      </c>
      <c r="AF37" s="1">
        <v>1.0</v>
      </c>
      <c r="AG37" s="1">
        <v>2.0</v>
      </c>
      <c r="AH37" s="1">
        <v>5.0</v>
      </c>
      <c r="AI37" s="1" t="b">
        <v>1</v>
      </c>
      <c r="AJ37" s="1" t="b">
        <v>0</v>
      </c>
      <c r="AK37" s="1" t="b">
        <v>0</v>
      </c>
      <c r="AL37" s="1">
        <v>0.024</v>
      </c>
      <c r="AM37" s="1">
        <v>0.048</v>
      </c>
      <c r="AN37" s="1" t="b">
        <v>0</v>
      </c>
      <c r="AO37" s="17" t="s">
        <v>173</v>
      </c>
      <c r="AP37" s="1" t="b">
        <v>0</v>
      </c>
      <c r="AQ37" s="1" t="b">
        <v>0</v>
      </c>
      <c r="AR37" s="1">
        <v>2.0</v>
      </c>
      <c r="AS37" s="1" t="b">
        <v>1</v>
      </c>
      <c r="AT37" s="1">
        <v>8.0</v>
      </c>
      <c r="AU37" s="1">
        <v>0.167</v>
      </c>
      <c r="AV37" s="1">
        <v>0.73</v>
      </c>
      <c r="AW37" s="1">
        <v>0.0</v>
      </c>
      <c r="AX37" s="1">
        <v>0.24</v>
      </c>
      <c r="AY37" s="1">
        <v>1.0</v>
      </c>
      <c r="AZ37" s="1" t="b">
        <v>0</v>
      </c>
      <c r="BA37" s="1" t="b">
        <v>1</v>
      </c>
      <c r="BB37" s="1" t="b">
        <v>0</v>
      </c>
      <c r="BC37" s="1" t="b">
        <v>0</v>
      </c>
      <c r="BD37" s="1" t="b">
        <v>0</v>
      </c>
      <c r="BE37" s="1" t="b">
        <v>0</v>
      </c>
      <c r="BF37" s="1" t="b">
        <v>1</v>
      </c>
      <c r="BG37" s="1" t="b">
        <v>0</v>
      </c>
    </row>
    <row r="38">
      <c r="A38" s="1" t="s">
        <v>174</v>
      </c>
      <c r="B38" s="24" t="s">
        <v>175</v>
      </c>
      <c r="C38" s="24" t="s">
        <v>176</v>
      </c>
      <c r="D38" s="1" t="s">
        <v>177</v>
      </c>
      <c r="E38" s="12">
        <v>3.0</v>
      </c>
      <c r="F38" s="1">
        <v>67.5</v>
      </c>
      <c r="G38" s="1">
        <v>62.5</v>
      </c>
      <c r="H38" s="1" t="s">
        <v>96</v>
      </c>
      <c r="I38" s="1" t="b">
        <v>0</v>
      </c>
      <c r="J38" s="1">
        <v>1.0</v>
      </c>
      <c r="K38" s="1">
        <v>1.5</v>
      </c>
      <c r="L38" s="1">
        <v>5.0</v>
      </c>
      <c r="M38" s="1">
        <v>1.0</v>
      </c>
      <c r="N38" s="1">
        <v>2.0</v>
      </c>
      <c r="O38" s="1">
        <v>5.0</v>
      </c>
      <c r="P38" s="1">
        <v>6.5</v>
      </c>
      <c r="Q38" s="1">
        <v>10.5</v>
      </c>
      <c r="R38" s="1">
        <v>13.0</v>
      </c>
      <c r="S38" s="1">
        <v>12.0</v>
      </c>
      <c r="T38" s="1">
        <v>5.0</v>
      </c>
      <c r="U38" s="1">
        <v>6.0</v>
      </c>
      <c r="V38" s="1">
        <v>5.375</v>
      </c>
      <c r="W38" s="1">
        <v>3.0</v>
      </c>
      <c r="X38" s="1">
        <v>3.75</v>
      </c>
      <c r="Y38" s="1">
        <v>3.175</v>
      </c>
      <c r="Z38" s="1">
        <v>10.0</v>
      </c>
      <c r="AA38" s="15">
        <f t="shared" si="3"/>
        <v>2.23</v>
      </c>
      <c r="AB38" s="1">
        <f t="shared" si="4"/>
        <v>0.26</v>
      </c>
      <c r="AD38" s="1">
        <v>0.12</v>
      </c>
      <c r="AE38" s="1">
        <v>0.48</v>
      </c>
      <c r="AF38" s="1">
        <v>1.0</v>
      </c>
      <c r="AG38" s="1">
        <v>2.0</v>
      </c>
      <c r="AH38" s="1">
        <v>5.0</v>
      </c>
      <c r="AI38" s="1" t="b">
        <v>1</v>
      </c>
      <c r="AJ38" s="1" t="b">
        <v>0</v>
      </c>
      <c r="AK38" s="1" t="b">
        <v>0</v>
      </c>
      <c r="AL38" s="1">
        <v>0.024</v>
      </c>
      <c r="AM38" s="1">
        <v>0.048</v>
      </c>
      <c r="AN38" s="1" t="b">
        <v>1</v>
      </c>
      <c r="AO38" s="17" t="s">
        <v>87</v>
      </c>
      <c r="AP38" s="1" t="b">
        <v>0</v>
      </c>
      <c r="AQ38" s="1" t="b">
        <v>0</v>
      </c>
      <c r="AR38" s="1">
        <v>3.0</v>
      </c>
      <c r="AS38" s="1" t="b">
        <v>1</v>
      </c>
      <c r="AT38" s="1">
        <v>16.0</v>
      </c>
      <c r="AU38" s="1">
        <v>0.12</v>
      </c>
      <c r="AV38" s="1">
        <v>0.262</v>
      </c>
      <c r="AW38" s="1">
        <v>0.0</v>
      </c>
      <c r="AX38" s="1">
        <v>0.238</v>
      </c>
      <c r="AY38" s="1">
        <v>1.0</v>
      </c>
      <c r="AZ38" s="1" t="b">
        <v>0</v>
      </c>
      <c r="BA38" s="1" t="b">
        <v>0</v>
      </c>
      <c r="BB38" s="1" t="b">
        <v>0</v>
      </c>
      <c r="BC38" s="1" t="b">
        <v>0</v>
      </c>
      <c r="BD38" s="1" t="b">
        <v>0</v>
      </c>
      <c r="BE38" s="1" t="b">
        <v>0</v>
      </c>
      <c r="BF38" s="1" t="b">
        <v>0</v>
      </c>
      <c r="BG38" s="1" t="b">
        <v>0</v>
      </c>
    </row>
    <row r="39">
      <c r="A39" s="12">
        <v>2.0240811E7</v>
      </c>
      <c r="D39" s="1" t="s">
        <v>178</v>
      </c>
      <c r="E39" s="12">
        <v>3.0</v>
      </c>
      <c r="F39" s="1">
        <v>67.5</v>
      </c>
      <c r="G39" s="1">
        <v>62.5</v>
      </c>
      <c r="H39" s="1" t="s">
        <v>179</v>
      </c>
      <c r="I39" s="1" t="b">
        <v>0</v>
      </c>
      <c r="J39" s="1">
        <v>1.0</v>
      </c>
      <c r="K39" s="1">
        <v>2.0</v>
      </c>
      <c r="L39" s="1">
        <v>6.0</v>
      </c>
      <c r="M39" s="1">
        <v>1.0</v>
      </c>
      <c r="N39" s="1">
        <v>1.0</v>
      </c>
      <c r="O39" s="1">
        <v>5.0</v>
      </c>
      <c r="P39" s="1">
        <v>5.0</v>
      </c>
      <c r="Q39" s="1">
        <v>10.0</v>
      </c>
      <c r="R39" s="1">
        <v>15.0</v>
      </c>
      <c r="S39" s="1">
        <v>13.0</v>
      </c>
      <c r="T39" s="1">
        <v>5.0</v>
      </c>
      <c r="U39" s="1">
        <v>6.0</v>
      </c>
      <c r="V39" s="1">
        <v>5.2</v>
      </c>
      <c r="W39" s="1">
        <v>3.0</v>
      </c>
      <c r="X39" s="1">
        <v>4.5</v>
      </c>
      <c r="Y39" s="1">
        <v>3.625</v>
      </c>
      <c r="Z39" s="1">
        <v>10.0</v>
      </c>
      <c r="AA39" s="15">
        <f t="shared" si="3"/>
        <v>2.5</v>
      </c>
      <c r="AB39" s="1">
        <f t="shared" si="4"/>
        <v>0.28</v>
      </c>
      <c r="AD39" s="1">
        <v>0.15</v>
      </c>
      <c r="AE39" s="1">
        <v>0.714</v>
      </c>
      <c r="AF39" s="1">
        <v>2.0</v>
      </c>
      <c r="AG39" s="1">
        <v>2.0</v>
      </c>
      <c r="AH39" s="1">
        <v>5.0</v>
      </c>
      <c r="AI39" s="1" t="b">
        <v>1</v>
      </c>
      <c r="AJ39" s="1" t="b">
        <v>1</v>
      </c>
      <c r="AK39" s="1" t="b">
        <v>0</v>
      </c>
      <c r="AL39" s="1">
        <v>0.025</v>
      </c>
      <c r="AM39" s="1">
        <v>0.06</v>
      </c>
      <c r="AN39" s="1" t="b">
        <v>0</v>
      </c>
      <c r="AO39" s="17" t="s">
        <v>76</v>
      </c>
      <c r="AP39" s="1" t="b">
        <v>0</v>
      </c>
      <c r="AQ39" s="1" t="b">
        <v>0</v>
      </c>
      <c r="AR39" s="1">
        <v>2.0</v>
      </c>
      <c r="AS39" s="1" t="b">
        <v>1</v>
      </c>
      <c r="AT39" s="1">
        <v>42.0</v>
      </c>
      <c r="AU39" s="1">
        <v>0.17</v>
      </c>
      <c r="AV39" s="1">
        <v>0.79</v>
      </c>
      <c r="AW39" s="1">
        <v>0.0</v>
      </c>
      <c r="AX39" s="1">
        <v>0.476</v>
      </c>
      <c r="AY39" s="1">
        <v>1.0</v>
      </c>
      <c r="AZ39" s="1" t="b">
        <v>0</v>
      </c>
      <c r="BA39" s="1" t="b">
        <v>0</v>
      </c>
      <c r="BB39" s="1" t="b">
        <v>0</v>
      </c>
      <c r="BC39" s="1" t="b">
        <v>0</v>
      </c>
      <c r="BD39" s="1" t="b">
        <v>0</v>
      </c>
      <c r="BE39" s="1" t="b">
        <v>0</v>
      </c>
      <c r="BF39" s="1" t="b">
        <v>0</v>
      </c>
      <c r="BG39" s="1" t="b">
        <v>0</v>
      </c>
    </row>
  </sheetData>
  <mergeCells count="4">
    <mergeCell ref="F5:AC5"/>
    <mergeCell ref="AP5:BE5"/>
    <mergeCell ref="BF5:BG5"/>
    <mergeCell ref="AD5:AO5"/>
  </mergeCells>
  <drawing r:id="rId2"/>
  <legacyDrawing r:id="rId3"/>
</worksheet>
</file>