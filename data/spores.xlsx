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Borttagen p.g.a genetik</t>
      </text>
    </comment>
    <comment authorId="0" ref="A9">
      <text>
        <t xml:space="preserve">borttagen p.g.a avsnaknad av stor mängd morfologisk data</t>
      </text>
    </comment>
    <comment authorId="0" ref="A23">
      <text>
        <t xml:space="preserve">Borttagen p.g.a genetik</t>
      </text>
    </comment>
  </commentList>
</comments>
</file>

<file path=xl/sharedStrings.xml><?xml version="1.0" encoding="utf-8"?>
<sst xmlns="http://schemas.openxmlformats.org/spreadsheetml/2006/main" count="70" uniqueCount="70">
  <si>
    <t>ID</t>
  </si>
  <si>
    <t>clade</t>
  </si>
  <si>
    <t>spore_1_width</t>
  </si>
  <si>
    <t>spore_2_width</t>
  </si>
  <si>
    <t>spore_3_width</t>
  </si>
  <si>
    <t>spore_4_width</t>
  </si>
  <si>
    <t>spore_5_width</t>
  </si>
  <si>
    <t>spore_6_width</t>
  </si>
  <si>
    <t>spore_7_width</t>
  </si>
  <si>
    <t>spore_8_width</t>
  </si>
  <si>
    <t>spore_9_width</t>
  </si>
  <si>
    <t>spore_10_width</t>
  </si>
  <si>
    <t>spore_1_length</t>
  </si>
  <si>
    <t>spore_2_length</t>
  </si>
  <si>
    <t>spore_3_length</t>
  </si>
  <si>
    <t>spore_4_length</t>
  </si>
  <si>
    <t>spore_5_length</t>
  </si>
  <si>
    <t>spore_6_length</t>
  </si>
  <si>
    <t>spore_7_length</t>
  </si>
  <si>
    <t>spore_8_length</t>
  </si>
  <si>
    <t>spore_9_length</t>
  </si>
  <si>
    <t>spore_10_length</t>
  </si>
  <si>
    <t>avg_width</t>
  </si>
  <si>
    <t>avg_length</t>
  </si>
  <si>
    <t>spore_width_avg_actual</t>
  </si>
  <si>
    <t>spore_length_avg_actual</t>
  </si>
  <si>
    <t>width_matches</t>
  </si>
  <si>
    <t>height_matches</t>
  </si>
  <si>
    <t>spore_1_septa</t>
  </si>
  <si>
    <t>spore_2_septa</t>
  </si>
  <si>
    <t>spore_3_septa</t>
  </si>
  <si>
    <t>spore_4_septa</t>
  </si>
  <si>
    <t>spore_5_septa</t>
  </si>
  <si>
    <t>spore_6_septa</t>
  </si>
  <si>
    <t>spore_7_septa</t>
  </si>
  <si>
    <t>spore_8_septa</t>
  </si>
  <si>
    <t>spore_9_septa</t>
  </si>
  <si>
    <t>spore_10_septa</t>
  </si>
  <si>
    <t>avg_septa</t>
  </si>
  <si>
    <t>avg_septa_actual</t>
  </si>
  <si>
    <t>septa_matches</t>
  </si>
  <si>
    <t>L11488</t>
  </si>
  <si>
    <t>L20483</t>
  </si>
  <si>
    <t>L03398</t>
  </si>
  <si>
    <t>L03557</t>
  </si>
  <si>
    <t>L24109</t>
  </si>
  <si>
    <t>L03400</t>
  </si>
  <si>
    <t>L17072</t>
  </si>
  <si>
    <t>L04230</t>
  </si>
  <si>
    <t>L08305</t>
  </si>
  <si>
    <t>L03389</t>
  </si>
  <si>
    <t>L02347</t>
  </si>
  <si>
    <t>L03384</t>
  </si>
  <si>
    <t>L03367</t>
  </si>
  <si>
    <t>L03368</t>
  </si>
  <si>
    <t>L03556</t>
  </si>
  <si>
    <t>L04086</t>
  </si>
  <si>
    <t>07-80</t>
  </si>
  <si>
    <t>L11062</t>
  </si>
  <si>
    <t>L03413</t>
  </si>
  <si>
    <t>L22236</t>
  </si>
  <si>
    <t>L20167</t>
  </si>
  <si>
    <t>L03399</t>
  </si>
  <si>
    <t>L20494</t>
  </si>
  <si>
    <t>L02350</t>
  </si>
  <si>
    <t>L04064</t>
  </si>
  <si>
    <t>L03388</t>
  </si>
  <si>
    <t>L20302</t>
  </si>
  <si>
    <t>L17164</t>
  </si>
  <si>
    <t>10290d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</si>
</sst>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vertical="bottom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ill="1" applyFont="1">
      <alignment horizontal="left" vertical="bottom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2" max="22" width="16.38"/>
    <col customWidth="1" min="25" max="25" width="19.63"/>
    <col customWidth="1" min="26" max="41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s="2" t="s">
        <v>41</v>
      </c>
      <c r="B2" s="3"/>
      <c r="C2" s="1">
        <v>5.25</v>
      </c>
      <c r="D2" s="1">
        <v>5.5</v>
      </c>
      <c r="E2" s="1">
        <v>5.5</v>
      </c>
      <c r="F2" s="1">
        <v>6.0</v>
      </c>
      <c r="G2" s="1">
        <v>6.0</v>
      </c>
      <c r="H2" s="1">
        <v>5.5</v>
      </c>
      <c r="I2" s="1">
        <v>5.25</v>
      </c>
      <c r="J2" s="1">
        <v>5.25</v>
      </c>
      <c r="K2" s="1">
        <v>6.0</v>
      </c>
      <c r="L2" s="1">
        <v>6.0</v>
      </c>
      <c r="M2" s="1">
        <v>9.0</v>
      </c>
      <c r="N2" s="1">
        <v>10.0</v>
      </c>
      <c r="O2" s="1">
        <v>9.0</v>
      </c>
      <c r="P2" s="1">
        <v>9.0</v>
      </c>
      <c r="Q2" s="1">
        <v>11.0</v>
      </c>
      <c r="R2" s="1">
        <v>10.0</v>
      </c>
      <c r="S2" s="1">
        <v>9.0</v>
      </c>
      <c r="T2" s="1">
        <v>9.0</v>
      </c>
      <c r="U2" s="1">
        <v>9.0</v>
      </c>
      <c r="V2" s="1">
        <v>10.0</v>
      </c>
      <c r="W2" s="4">
        <f t="shared" ref="W2:W34" si="2">sum(C2:L2) / 10</f>
        <v>5.625</v>
      </c>
      <c r="X2" s="4">
        <f t="shared" ref="X2:X34" si="3">sum(M2:V2) / 10</f>
        <v>9.5</v>
      </c>
      <c r="Y2" s="5">
        <v>5.625</v>
      </c>
      <c r="Z2" s="5">
        <v>9.5</v>
      </c>
      <c r="AA2" s="5" t="b">
        <f t="shared" ref="AA2:AB2" si="1">W2=Y2</f>
        <v>1</v>
      </c>
      <c r="AB2" s="5" t="b">
        <f t="shared" si="1"/>
        <v>1</v>
      </c>
      <c r="AC2" s="6">
        <v>2.0</v>
      </c>
      <c r="AD2" s="6">
        <v>1.5</v>
      </c>
      <c r="AE2" s="6">
        <v>2.0</v>
      </c>
      <c r="AF2" s="6">
        <v>1.75</v>
      </c>
      <c r="AG2" s="6">
        <v>2.0</v>
      </c>
      <c r="AH2" s="6">
        <v>2.75</v>
      </c>
      <c r="AI2" s="6">
        <v>2.5</v>
      </c>
      <c r="AJ2" s="6">
        <v>2.0</v>
      </c>
      <c r="AK2" s="6">
        <v>2.5</v>
      </c>
      <c r="AL2" s="6">
        <v>2.0</v>
      </c>
      <c r="AM2" s="6">
        <f t="shared" ref="AM2:AM8" si="5">sum(AC2:AL2) / 10</f>
        <v>2.1</v>
      </c>
      <c r="AN2" s="7">
        <v>2.1</v>
      </c>
      <c r="AO2" s="6" t="b">
        <f t="shared" ref="AO2:AO34" si="6">AM2=AN2</f>
        <v>1</v>
      </c>
    </row>
    <row r="3">
      <c r="A3" s="8" t="s">
        <v>42</v>
      </c>
      <c r="B3" s="3"/>
      <c r="C3" s="1">
        <v>7.0</v>
      </c>
      <c r="D3" s="1">
        <v>6.0</v>
      </c>
      <c r="E3" s="1">
        <v>5.5</v>
      </c>
      <c r="F3" s="1">
        <v>6.0</v>
      </c>
      <c r="G3" s="1">
        <v>6.5</v>
      </c>
      <c r="H3" s="1">
        <v>6.5</v>
      </c>
      <c r="I3" s="1">
        <v>6.0</v>
      </c>
      <c r="J3" s="1">
        <v>5.0</v>
      </c>
      <c r="K3" s="1">
        <v>6.5</v>
      </c>
      <c r="L3" s="1">
        <v>6.0</v>
      </c>
      <c r="M3" s="1">
        <v>13.0</v>
      </c>
      <c r="N3" s="1">
        <v>12.0</v>
      </c>
      <c r="O3" s="1">
        <v>11.0</v>
      </c>
      <c r="P3" s="1">
        <v>13.0</v>
      </c>
      <c r="Q3" s="1">
        <v>13.0</v>
      </c>
      <c r="R3" s="1">
        <v>12.0</v>
      </c>
      <c r="S3" s="1">
        <v>11.5</v>
      </c>
      <c r="T3" s="1">
        <v>12.0</v>
      </c>
      <c r="U3" s="1">
        <v>12.0</v>
      </c>
      <c r="V3" s="1">
        <v>13.0</v>
      </c>
      <c r="W3" s="4">
        <f t="shared" si="2"/>
        <v>6.1</v>
      </c>
      <c r="X3" s="4">
        <f t="shared" si="3"/>
        <v>12.25</v>
      </c>
      <c r="Y3" s="5">
        <v>6.1</v>
      </c>
      <c r="Z3" s="5">
        <v>12.25</v>
      </c>
      <c r="AA3" s="5" t="b">
        <f t="shared" ref="AA3:AB3" si="4">W3=Y3</f>
        <v>1</v>
      </c>
      <c r="AB3" s="5" t="b">
        <f t="shared" si="4"/>
        <v>1</v>
      </c>
      <c r="AC3" s="6">
        <v>3.75</v>
      </c>
      <c r="AD3" s="6">
        <v>4.0</v>
      </c>
      <c r="AE3" s="6">
        <v>3.0</v>
      </c>
      <c r="AF3" s="6">
        <v>4.5</v>
      </c>
      <c r="AG3" s="6">
        <v>4.0</v>
      </c>
      <c r="AH3" s="6">
        <v>3.5</v>
      </c>
      <c r="AI3" s="6">
        <v>3.5</v>
      </c>
      <c r="AJ3" s="6">
        <v>4.0</v>
      </c>
      <c r="AK3" s="6">
        <v>4.0</v>
      </c>
      <c r="AL3" s="6">
        <v>3.5</v>
      </c>
      <c r="AM3" s="6">
        <f t="shared" si="5"/>
        <v>3.775</v>
      </c>
      <c r="AN3" s="7">
        <v>3.775</v>
      </c>
      <c r="AO3" s="6" t="b">
        <f t="shared" si="6"/>
        <v>1</v>
      </c>
    </row>
    <row r="4">
      <c r="A4" s="2" t="s">
        <v>43</v>
      </c>
      <c r="B4" s="3"/>
      <c r="C4" s="1">
        <v>6.0</v>
      </c>
      <c r="D4" s="1">
        <v>5.25</v>
      </c>
      <c r="E4" s="1">
        <v>5.0</v>
      </c>
      <c r="F4" s="1">
        <v>5.5</v>
      </c>
      <c r="G4" s="1">
        <v>6.0</v>
      </c>
      <c r="H4" s="1">
        <v>6.5</v>
      </c>
      <c r="I4" s="1">
        <v>6.0</v>
      </c>
      <c r="J4" s="1">
        <v>5.75</v>
      </c>
      <c r="K4" s="1">
        <v>5.5</v>
      </c>
      <c r="L4" s="1">
        <v>5.0</v>
      </c>
      <c r="M4" s="1">
        <v>11.0</v>
      </c>
      <c r="N4" s="1">
        <v>11.0</v>
      </c>
      <c r="O4" s="1">
        <v>10.0</v>
      </c>
      <c r="P4" s="1">
        <v>12.0</v>
      </c>
      <c r="Q4" s="1">
        <v>11.0</v>
      </c>
      <c r="R4" s="1">
        <v>11.0</v>
      </c>
      <c r="S4" s="1">
        <v>11.0</v>
      </c>
      <c r="T4" s="1">
        <v>11.0</v>
      </c>
      <c r="U4" s="1">
        <v>11.0</v>
      </c>
      <c r="V4" s="1">
        <v>10.0</v>
      </c>
      <c r="W4" s="4">
        <f t="shared" si="2"/>
        <v>5.65</v>
      </c>
      <c r="X4" s="4">
        <f t="shared" si="3"/>
        <v>10.9</v>
      </c>
      <c r="Y4" s="5">
        <v>5.65</v>
      </c>
      <c r="Z4" s="6">
        <v>10.9</v>
      </c>
      <c r="AA4" s="5" t="b">
        <f t="shared" ref="AA4:AB4" si="7">W4=Y4</f>
        <v>1</v>
      </c>
      <c r="AB4" s="5" t="b">
        <f t="shared" si="7"/>
        <v>1</v>
      </c>
      <c r="AC4" s="6">
        <v>3.5</v>
      </c>
      <c r="AD4" s="6">
        <v>2.5</v>
      </c>
      <c r="AE4" s="6">
        <v>3.0</v>
      </c>
      <c r="AF4" s="6">
        <v>3.0</v>
      </c>
      <c r="AG4" s="6">
        <v>3.0</v>
      </c>
      <c r="AH4" s="6">
        <v>3.5</v>
      </c>
      <c r="AI4" s="6">
        <v>3.5</v>
      </c>
      <c r="AJ4" s="6">
        <v>3.5</v>
      </c>
      <c r="AK4" s="6">
        <v>3.75</v>
      </c>
      <c r="AL4" s="6">
        <v>3.5</v>
      </c>
      <c r="AM4" s="6">
        <f t="shared" si="5"/>
        <v>3.275</v>
      </c>
      <c r="AN4" s="7">
        <v>3.275</v>
      </c>
      <c r="AO4" s="6" t="b">
        <f t="shared" si="6"/>
        <v>1</v>
      </c>
    </row>
    <row r="5">
      <c r="A5" s="2" t="s">
        <v>44</v>
      </c>
      <c r="B5" s="3">
        <v>3.0</v>
      </c>
      <c r="C5" s="1">
        <v>5.5</v>
      </c>
      <c r="D5" s="1">
        <v>5.0</v>
      </c>
      <c r="E5" s="1">
        <v>6.0</v>
      </c>
      <c r="F5" s="1">
        <v>5.0</v>
      </c>
      <c r="G5" s="1">
        <v>6.0</v>
      </c>
      <c r="H5" s="1">
        <v>5.5</v>
      </c>
      <c r="I5" s="1">
        <v>5.5</v>
      </c>
      <c r="J5" s="1">
        <v>5.0</v>
      </c>
      <c r="K5" s="1">
        <v>6.0</v>
      </c>
      <c r="L5" s="1">
        <v>5.5</v>
      </c>
      <c r="M5" s="1">
        <v>12.5</v>
      </c>
      <c r="N5" s="1">
        <v>10.0</v>
      </c>
      <c r="O5" s="1">
        <v>12.0</v>
      </c>
      <c r="P5" s="1">
        <v>11.5</v>
      </c>
      <c r="Q5" s="1">
        <v>12.0</v>
      </c>
      <c r="R5" s="1">
        <v>12.0</v>
      </c>
      <c r="S5" s="1">
        <v>12.0</v>
      </c>
      <c r="T5" s="1">
        <v>11.0</v>
      </c>
      <c r="U5" s="1">
        <v>11.0</v>
      </c>
      <c r="V5" s="1">
        <v>11.5</v>
      </c>
      <c r="W5" s="4">
        <f t="shared" si="2"/>
        <v>5.5</v>
      </c>
      <c r="X5" s="4">
        <f t="shared" si="3"/>
        <v>11.55</v>
      </c>
      <c r="Y5" s="5">
        <v>5.5</v>
      </c>
      <c r="Z5" s="5">
        <v>11.55</v>
      </c>
      <c r="AA5" s="5" t="b">
        <f t="shared" ref="AA5:AB5" si="8">W5=Y5</f>
        <v>1</v>
      </c>
      <c r="AB5" s="5" t="b">
        <f t="shared" si="8"/>
        <v>1</v>
      </c>
      <c r="AC5" s="6">
        <v>3.75</v>
      </c>
      <c r="AD5" s="6">
        <v>3.0</v>
      </c>
      <c r="AE5" s="6">
        <v>3.5</v>
      </c>
      <c r="AF5" s="6">
        <v>3.0</v>
      </c>
      <c r="AG5" s="6">
        <v>3.0</v>
      </c>
      <c r="AH5" s="6">
        <v>3.0</v>
      </c>
      <c r="AI5" s="6">
        <v>3.0</v>
      </c>
      <c r="AJ5" s="6">
        <v>4.0</v>
      </c>
      <c r="AK5" s="6">
        <v>3.0</v>
      </c>
      <c r="AL5" s="6">
        <v>3.5</v>
      </c>
      <c r="AM5" s="6">
        <f t="shared" si="5"/>
        <v>3.275</v>
      </c>
      <c r="AN5" s="7">
        <v>3.275</v>
      </c>
      <c r="AO5" s="6" t="b">
        <f t="shared" si="6"/>
        <v>1</v>
      </c>
    </row>
    <row r="6">
      <c r="A6" s="2" t="s">
        <v>45</v>
      </c>
      <c r="B6" s="3">
        <v>3.0</v>
      </c>
      <c r="C6" s="1">
        <v>6.0</v>
      </c>
      <c r="D6" s="1">
        <v>5.0</v>
      </c>
      <c r="E6" s="1">
        <v>5.0</v>
      </c>
      <c r="F6" s="1">
        <v>5.0</v>
      </c>
      <c r="G6" s="1">
        <v>5.0</v>
      </c>
      <c r="H6" s="1">
        <v>6.0</v>
      </c>
      <c r="I6" s="1">
        <v>5.5</v>
      </c>
      <c r="J6" s="1">
        <v>6.0</v>
      </c>
      <c r="K6" s="1">
        <v>6.0</v>
      </c>
      <c r="L6" s="1">
        <v>4.5</v>
      </c>
      <c r="M6" s="1">
        <v>13.0</v>
      </c>
      <c r="N6" s="1">
        <v>10.0</v>
      </c>
      <c r="O6" s="1">
        <v>10.0</v>
      </c>
      <c r="P6" s="1">
        <v>10.0</v>
      </c>
      <c r="Q6" s="1">
        <v>12.0</v>
      </c>
      <c r="R6" s="1">
        <v>12.0</v>
      </c>
      <c r="S6" s="1">
        <v>12.0</v>
      </c>
      <c r="T6" s="1">
        <v>11.5</v>
      </c>
      <c r="U6" s="1">
        <v>11.0</v>
      </c>
      <c r="V6" s="1">
        <v>10.0</v>
      </c>
      <c r="W6" s="4">
        <f t="shared" si="2"/>
        <v>5.4</v>
      </c>
      <c r="X6" s="4">
        <f t="shared" si="3"/>
        <v>11.15</v>
      </c>
      <c r="Y6" s="5">
        <v>5.4</v>
      </c>
      <c r="Z6" s="5">
        <v>11.15</v>
      </c>
      <c r="AA6" s="5" t="b">
        <f t="shared" ref="AA6:AB6" si="9">W6=Y6</f>
        <v>1</v>
      </c>
      <c r="AB6" s="5" t="b">
        <f t="shared" si="9"/>
        <v>1</v>
      </c>
      <c r="AC6" s="6">
        <v>4.0</v>
      </c>
      <c r="AD6" s="6">
        <v>2.0</v>
      </c>
      <c r="AE6" s="6">
        <v>3.0</v>
      </c>
      <c r="AF6" s="6">
        <v>2.5</v>
      </c>
      <c r="AG6" s="6">
        <v>3.0</v>
      </c>
      <c r="AH6" s="6">
        <v>4.0</v>
      </c>
      <c r="AI6" s="6">
        <v>3.5</v>
      </c>
      <c r="AJ6" s="6">
        <v>3.5</v>
      </c>
      <c r="AK6" s="6">
        <v>3.5</v>
      </c>
      <c r="AL6" s="6">
        <v>3.0</v>
      </c>
      <c r="AM6" s="6">
        <f t="shared" si="5"/>
        <v>3.2</v>
      </c>
      <c r="AN6" s="7">
        <v>3.2</v>
      </c>
      <c r="AO6" s="6" t="b">
        <f t="shared" si="6"/>
        <v>1</v>
      </c>
    </row>
    <row r="7">
      <c r="A7" s="2" t="s">
        <v>46</v>
      </c>
      <c r="B7" s="3"/>
      <c r="C7" s="1">
        <v>5.5</v>
      </c>
      <c r="D7" s="1">
        <v>5.5</v>
      </c>
      <c r="E7" s="1">
        <v>5.5</v>
      </c>
      <c r="F7" s="1">
        <v>5.5</v>
      </c>
      <c r="G7" s="1">
        <v>6.5</v>
      </c>
      <c r="H7" s="1">
        <v>7.0</v>
      </c>
      <c r="I7" s="1">
        <v>6.5</v>
      </c>
      <c r="J7" s="1">
        <v>7.0</v>
      </c>
      <c r="K7" s="1">
        <v>6.5</v>
      </c>
      <c r="L7" s="1">
        <v>6.0</v>
      </c>
      <c r="M7" s="1">
        <v>11.0</v>
      </c>
      <c r="N7" s="1">
        <v>11.0</v>
      </c>
      <c r="O7" s="1">
        <v>10.5</v>
      </c>
      <c r="P7" s="1">
        <v>13.0</v>
      </c>
      <c r="Q7" s="1">
        <v>12.5</v>
      </c>
      <c r="R7" s="1">
        <v>14.0</v>
      </c>
      <c r="S7" s="1">
        <v>13.0</v>
      </c>
      <c r="T7" s="1">
        <v>15.0</v>
      </c>
      <c r="U7" s="1">
        <v>13.0</v>
      </c>
      <c r="V7" s="1">
        <v>13.0</v>
      </c>
      <c r="W7" s="4">
        <f t="shared" si="2"/>
        <v>6.15</v>
      </c>
      <c r="X7" s="4">
        <f t="shared" si="3"/>
        <v>12.6</v>
      </c>
      <c r="Y7" s="5">
        <v>6.15</v>
      </c>
      <c r="Z7" s="6">
        <v>12.6</v>
      </c>
      <c r="AA7" s="5" t="b">
        <f t="shared" ref="AA7:AB7" si="10">W7=Y7</f>
        <v>1</v>
      </c>
      <c r="AB7" s="5" t="b">
        <f t="shared" si="10"/>
        <v>1</v>
      </c>
      <c r="AC7" s="6">
        <v>3.0</v>
      </c>
      <c r="AD7" s="6">
        <v>2.75</v>
      </c>
      <c r="AE7" s="6">
        <v>2.5</v>
      </c>
      <c r="AF7" s="6">
        <v>3.5</v>
      </c>
      <c r="AG7" s="6">
        <v>3.5</v>
      </c>
      <c r="AH7" s="6">
        <v>4.0</v>
      </c>
      <c r="AI7" s="6">
        <v>3.5</v>
      </c>
      <c r="AJ7" s="6">
        <v>3.0</v>
      </c>
      <c r="AK7" s="6">
        <v>4.0</v>
      </c>
      <c r="AL7" s="6">
        <v>3.5</v>
      </c>
      <c r="AM7" s="6">
        <f t="shared" si="5"/>
        <v>3.325</v>
      </c>
      <c r="AN7" s="7">
        <v>3.325</v>
      </c>
      <c r="AO7" s="6" t="b">
        <f t="shared" si="6"/>
        <v>1</v>
      </c>
    </row>
    <row r="8">
      <c r="A8" s="2" t="s">
        <v>47</v>
      </c>
      <c r="B8" s="3"/>
      <c r="C8" s="1">
        <v>6.0</v>
      </c>
      <c r="D8" s="1">
        <v>6.0</v>
      </c>
      <c r="E8" s="1">
        <v>8.0</v>
      </c>
      <c r="F8" s="1">
        <v>6.5</v>
      </c>
      <c r="G8" s="1">
        <v>7.5</v>
      </c>
      <c r="H8" s="1">
        <v>7.0</v>
      </c>
      <c r="I8" s="1">
        <v>6.0</v>
      </c>
      <c r="J8" s="1">
        <v>5.5</v>
      </c>
      <c r="K8" s="1">
        <v>7.0</v>
      </c>
      <c r="L8" s="1">
        <v>6.5</v>
      </c>
      <c r="M8" s="1">
        <v>13.0</v>
      </c>
      <c r="N8" s="1">
        <v>12.0</v>
      </c>
      <c r="O8" s="1">
        <v>13.0</v>
      </c>
      <c r="P8" s="1">
        <v>14.0</v>
      </c>
      <c r="Q8" s="1">
        <v>13.0</v>
      </c>
      <c r="R8" s="1">
        <v>12.0</v>
      </c>
      <c r="S8" s="1">
        <v>12.5</v>
      </c>
      <c r="T8" s="1">
        <v>12.0</v>
      </c>
      <c r="U8" s="1">
        <v>13.0</v>
      </c>
      <c r="V8" s="1">
        <v>12.0</v>
      </c>
      <c r="W8" s="4">
        <f t="shared" si="2"/>
        <v>6.6</v>
      </c>
      <c r="X8" s="4">
        <f t="shared" si="3"/>
        <v>12.65</v>
      </c>
      <c r="Y8" s="5">
        <v>6.6</v>
      </c>
      <c r="Z8" s="5">
        <v>12.65</v>
      </c>
      <c r="AA8" s="5" t="b">
        <f t="shared" ref="AA8:AB8" si="11">W8=Y8</f>
        <v>1</v>
      </c>
      <c r="AB8" s="5" t="b">
        <f t="shared" si="11"/>
        <v>1</v>
      </c>
      <c r="AC8" s="6">
        <v>3.0</v>
      </c>
      <c r="AD8" s="6">
        <v>4.0</v>
      </c>
      <c r="AE8" s="6">
        <v>3.5</v>
      </c>
      <c r="AF8" s="6">
        <v>4.0</v>
      </c>
      <c r="AG8" s="6">
        <v>3.5</v>
      </c>
      <c r="AH8" s="6">
        <v>3.5</v>
      </c>
      <c r="AI8" s="6">
        <v>3.5</v>
      </c>
      <c r="AJ8" s="6">
        <v>3.0</v>
      </c>
      <c r="AK8" s="6">
        <v>4.0</v>
      </c>
      <c r="AL8" s="6">
        <v>3.0</v>
      </c>
      <c r="AM8" s="6">
        <f t="shared" si="5"/>
        <v>3.5</v>
      </c>
      <c r="AN8" s="7">
        <v>3.5</v>
      </c>
      <c r="AO8" s="6" t="b">
        <f t="shared" si="6"/>
        <v>1</v>
      </c>
    </row>
    <row r="9">
      <c r="A9" s="8" t="s">
        <v>48</v>
      </c>
      <c r="B9" s="3">
        <v>1.0</v>
      </c>
      <c r="C9" s="1">
        <v>7.0</v>
      </c>
      <c r="D9" s="1">
        <v>8.0</v>
      </c>
      <c r="M9" s="1">
        <v>15.0</v>
      </c>
      <c r="N9" s="1">
        <v>17.0</v>
      </c>
      <c r="W9" s="4">
        <f t="shared" si="2"/>
        <v>1.5</v>
      </c>
      <c r="X9" s="4">
        <f t="shared" si="3"/>
        <v>3.2</v>
      </c>
      <c r="Y9" s="5">
        <v>7.5</v>
      </c>
      <c r="Z9" s="5">
        <v>16.0</v>
      </c>
      <c r="AA9" s="5" t="b">
        <f t="shared" ref="AA9:AB9" si="12">W9=Y9</f>
        <v>0</v>
      </c>
      <c r="AB9" s="5" t="b">
        <f t="shared" si="12"/>
        <v>0</v>
      </c>
      <c r="AC9" s="6">
        <v>5.0</v>
      </c>
      <c r="AD9" s="6">
        <v>5.0</v>
      </c>
      <c r="AE9" s="5"/>
      <c r="AF9" s="5"/>
      <c r="AG9" s="5"/>
      <c r="AH9" s="5"/>
      <c r="AI9" s="5"/>
      <c r="AJ9" s="5"/>
      <c r="AK9" s="5"/>
      <c r="AL9" s="5"/>
      <c r="AM9" s="6">
        <v>5.0</v>
      </c>
      <c r="AN9" s="5">
        <v>5.0</v>
      </c>
      <c r="AO9" s="6" t="b">
        <f t="shared" si="6"/>
        <v>1</v>
      </c>
    </row>
    <row r="10">
      <c r="A10" s="2" t="s">
        <v>49</v>
      </c>
      <c r="B10" s="3">
        <v>2.0</v>
      </c>
      <c r="C10" s="1">
        <v>5.5</v>
      </c>
      <c r="D10" s="1">
        <v>6.0</v>
      </c>
      <c r="E10" s="1">
        <v>6.0</v>
      </c>
      <c r="F10" s="1">
        <v>5.5</v>
      </c>
      <c r="G10" s="1">
        <v>5.75</v>
      </c>
      <c r="H10" s="1">
        <v>5.5</v>
      </c>
      <c r="I10" s="1">
        <v>6.0</v>
      </c>
      <c r="J10" s="1">
        <v>5.5</v>
      </c>
      <c r="K10" s="1">
        <v>6.0</v>
      </c>
      <c r="L10" s="1">
        <v>6.5</v>
      </c>
      <c r="M10" s="5">
        <v>13.0</v>
      </c>
      <c r="N10" s="5">
        <v>12.0</v>
      </c>
      <c r="O10" s="5">
        <v>12.0</v>
      </c>
      <c r="P10" s="5">
        <v>12.0</v>
      </c>
      <c r="Q10" s="5">
        <v>11.0</v>
      </c>
      <c r="R10" s="5">
        <v>12.0</v>
      </c>
      <c r="S10" s="5">
        <v>12.0</v>
      </c>
      <c r="T10" s="5">
        <v>13.0</v>
      </c>
      <c r="U10" s="5">
        <v>14.0</v>
      </c>
      <c r="V10" s="5">
        <v>13.0</v>
      </c>
      <c r="W10" s="4">
        <f t="shared" si="2"/>
        <v>5.825</v>
      </c>
      <c r="X10" s="4">
        <f t="shared" si="3"/>
        <v>12.4</v>
      </c>
      <c r="Y10" s="5">
        <v>5.825</v>
      </c>
      <c r="Z10" s="5">
        <v>12.4</v>
      </c>
      <c r="AA10" s="5" t="b">
        <f t="shared" ref="AA10:AB10" si="13">W10=Y10</f>
        <v>1</v>
      </c>
      <c r="AB10" s="5" t="b">
        <f t="shared" si="13"/>
        <v>1</v>
      </c>
      <c r="AC10" s="6">
        <v>4.0</v>
      </c>
      <c r="AD10" s="6">
        <v>3.5</v>
      </c>
      <c r="AE10" s="6">
        <v>3.5</v>
      </c>
      <c r="AF10" s="6">
        <v>4.0</v>
      </c>
      <c r="AG10" s="6">
        <v>4.5</v>
      </c>
      <c r="AH10" s="6">
        <v>3.75</v>
      </c>
      <c r="AI10" s="6">
        <v>4.0</v>
      </c>
      <c r="AJ10" s="6">
        <v>4.5</v>
      </c>
      <c r="AK10" s="6">
        <v>3.5</v>
      </c>
      <c r="AL10" s="6">
        <v>3.5</v>
      </c>
      <c r="AM10" s="6">
        <f t="shared" ref="AM10:AM29" si="15">sum(AC10:AL10) / 10</f>
        <v>3.875</v>
      </c>
      <c r="AN10" s="7">
        <v>3.875</v>
      </c>
      <c r="AO10" s="6" t="b">
        <f t="shared" si="6"/>
        <v>1</v>
      </c>
    </row>
    <row r="11">
      <c r="A11" s="2">
        <v>2.0240813E7</v>
      </c>
      <c r="B11" s="3">
        <v>1.0</v>
      </c>
      <c r="C11" s="1">
        <v>7.0</v>
      </c>
      <c r="D11" s="1">
        <v>7.0</v>
      </c>
      <c r="E11" s="1">
        <v>7.0</v>
      </c>
      <c r="F11" s="1">
        <v>7.0</v>
      </c>
      <c r="G11" s="1">
        <v>8.0</v>
      </c>
      <c r="H11" s="1">
        <v>7.5</v>
      </c>
      <c r="I11" s="1">
        <v>6.5</v>
      </c>
      <c r="J11" s="1">
        <v>7.5</v>
      </c>
      <c r="K11" s="1">
        <v>6.5</v>
      </c>
      <c r="L11" s="1">
        <v>7.5</v>
      </c>
      <c r="M11" s="1">
        <v>16.0</v>
      </c>
      <c r="N11" s="1">
        <v>15.0</v>
      </c>
      <c r="O11" s="1">
        <v>14.5</v>
      </c>
      <c r="P11" s="1">
        <v>15.0</v>
      </c>
      <c r="Q11" s="1">
        <v>16.0</v>
      </c>
      <c r="R11" s="1">
        <v>14.0</v>
      </c>
      <c r="S11" s="1">
        <v>13.0</v>
      </c>
      <c r="T11" s="1">
        <v>15.0</v>
      </c>
      <c r="U11" s="1">
        <v>15.0</v>
      </c>
      <c r="V11" s="1">
        <v>15.0</v>
      </c>
      <c r="W11" s="4">
        <f t="shared" si="2"/>
        <v>7.15</v>
      </c>
      <c r="X11" s="4">
        <f t="shared" si="3"/>
        <v>14.85</v>
      </c>
      <c r="Y11" s="5">
        <v>7.15</v>
      </c>
      <c r="Z11" s="5">
        <v>14.85</v>
      </c>
      <c r="AA11" s="5" t="b">
        <f t="shared" ref="AA11:AB11" si="14">W11=Y11</f>
        <v>1</v>
      </c>
      <c r="AB11" s="5" t="b">
        <f t="shared" si="14"/>
        <v>1</v>
      </c>
      <c r="AC11" s="6">
        <v>3.5</v>
      </c>
      <c r="AD11" s="6">
        <v>5.5</v>
      </c>
      <c r="AE11" s="6">
        <v>4.75</v>
      </c>
      <c r="AF11" s="6">
        <v>3.5</v>
      </c>
      <c r="AG11" s="6">
        <v>3.0</v>
      </c>
      <c r="AH11" s="6">
        <v>4.0</v>
      </c>
      <c r="AI11" s="6">
        <v>3.0</v>
      </c>
      <c r="AJ11" s="6">
        <v>3.0</v>
      </c>
      <c r="AK11" s="6">
        <v>5.0</v>
      </c>
      <c r="AL11" s="6">
        <v>5.0</v>
      </c>
      <c r="AM11" s="6">
        <f t="shared" si="15"/>
        <v>4.025</v>
      </c>
      <c r="AN11" s="7">
        <v>4.025</v>
      </c>
      <c r="AO11" s="6" t="b">
        <f t="shared" si="6"/>
        <v>1</v>
      </c>
    </row>
    <row r="12">
      <c r="A12" s="2" t="s">
        <v>50</v>
      </c>
      <c r="B12" s="3"/>
      <c r="C12" s="1">
        <v>5.0</v>
      </c>
      <c r="D12" s="1">
        <v>4.75</v>
      </c>
      <c r="E12" s="1">
        <v>5.0</v>
      </c>
      <c r="F12" s="1">
        <v>5.0</v>
      </c>
      <c r="G12" s="1">
        <v>4.75</v>
      </c>
      <c r="H12" s="1">
        <v>4.5</v>
      </c>
      <c r="I12" s="1">
        <v>4.25</v>
      </c>
      <c r="J12" s="1">
        <v>4.5</v>
      </c>
      <c r="K12" s="1">
        <v>5.0</v>
      </c>
      <c r="L12" s="1">
        <v>4.0</v>
      </c>
      <c r="M12" s="5">
        <v>11.0</v>
      </c>
      <c r="N12" s="5">
        <v>10.0</v>
      </c>
      <c r="O12" s="5">
        <v>10.0</v>
      </c>
      <c r="P12" s="5">
        <v>10.0</v>
      </c>
      <c r="Q12" s="5">
        <v>9.0</v>
      </c>
      <c r="R12" s="5">
        <v>10.0</v>
      </c>
      <c r="S12" s="5">
        <v>9.5</v>
      </c>
      <c r="T12" s="5">
        <v>10.0</v>
      </c>
      <c r="U12" s="5">
        <v>9.0</v>
      </c>
      <c r="V12" s="5">
        <v>9.0</v>
      </c>
      <c r="W12" s="4">
        <f t="shared" si="2"/>
        <v>4.675</v>
      </c>
      <c r="X12" s="4">
        <f t="shared" si="3"/>
        <v>9.75</v>
      </c>
      <c r="Y12" s="5">
        <v>4.675</v>
      </c>
      <c r="Z12" s="5">
        <v>9.75</v>
      </c>
      <c r="AA12" s="5" t="b">
        <f t="shared" ref="AA12:AB12" si="16">W12=Y12</f>
        <v>1</v>
      </c>
      <c r="AB12" s="5" t="b">
        <f t="shared" si="16"/>
        <v>1</v>
      </c>
      <c r="AC12" s="6">
        <v>2.5</v>
      </c>
      <c r="AD12" s="6">
        <v>2.5</v>
      </c>
      <c r="AE12" s="6">
        <v>2.0</v>
      </c>
      <c r="AF12" s="6">
        <v>3.0</v>
      </c>
      <c r="AG12" s="6">
        <v>2.75</v>
      </c>
      <c r="AH12" s="6">
        <v>2.0</v>
      </c>
      <c r="AI12" s="6">
        <v>1.75</v>
      </c>
      <c r="AJ12" s="6">
        <v>2.0</v>
      </c>
      <c r="AK12" s="6">
        <v>2.5</v>
      </c>
      <c r="AL12" s="6">
        <v>3.0</v>
      </c>
      <c r="AM12" s="6">
        <f t="shared" si="15"/>
        <v>2.4</v>
      </c>
      <c r="AN12" s="7">
        <v>2.4</v>
      </c>
      <c r="AO12" s="6" t="b">
        <f t="shared" si="6"/>
        <v>1</v>
      </c>
    </row>
    <row r="13">
      <c r="A13" s="2" t="s">
        <v>51</v>
      </c>
      <c r="B13" s="3">
        <v>2.0</v>
      </c>
      <c r="W13" s="4">
        <f t="shared" si="2"/>
        <v>0</v>
      </c>
      <c r="X13" s="4">
        <f t="shared" si="3"/>
        <v>0</v>
      </c>
      <c r="Y13" s="3"/>
      <c r="Z13" s="3"/>
      <c r="AA13" s="5" t="b">
        <f t="shared" ref="AA13:AB13" si="17">W13=Y13</f>
        <v>1</v>
      </c>
      <c r="AB13" s="5" t="b">
        <f t="shared" si="17"/>
        <v>1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6">
        <f t="shared" si="15"/>
        <v>0</v>
      </c>
      <c r="AN13" s="3"/>
      <c r="AO13" s="6" t="b">
        <f t="shared" si="6"/>
        <v>1</v>
      </c>
    </row>
    <row r="14">
      <c r="A14" s="2" t="s">
        <v>52</v>
      </c>
      <c r="B14" s="3"/>
      <c r="C14" s="1">
        <v>5.0</v>
      </c>
      <c r="D14" s="1">
        <v>5.0</v>
      </c>
      <c r="E14" s="1">
        <v>4.5</v>
      </c>
      <c r="F14" s="1">
        <v>5.0</v>
      </c>
      <c r="G14" s="1">
        <v>5.25</v>
      </c>
      <c r="H14" s="1">
        <v>5.5</v>
      </c>
      <c r="I14" s="1">
        <v>5.5</v>
      </c>
      <c r="J14" s="1">
        <v>5.0</v>
      </c>
      <c r="K14" s="1">
        <v>5.0</v>
      </c>
      <c r="L14" s="1">
        <v>5.5</v>
      </c>
      <c r="M14" s="1">
        <v>12.0</v>
      </c>
      <c r="N14" s="1">
        <v>11.0</v>
      </c>
      <c r="O14" s="1">
        <v>11.0</v>
      </c>
      <c r="P14" s="1">
        <v>12.0</v>
      </c>
      <c r="Q14" s="1">
        <v>12.0</v>
      </c>
      <c r="R14" s="1">
        <v>12.0</v>
      </c>
      <c r="S14" s="1">
        <v>11.5</v>
      </c>
      <c r="T14" s="1">
        <v>11.0</v>
      </c>
      <c r="U14" s="1">
        <v>10.0</v>
      </c>
      <c r="V14" s="1">
        <v>10.0</v>
      </c>
      <c r="W14" s="4">
        <f t="shared" si="2"/>
        <v>5.125</v>
      </c>
      <c r="X14" s="4">
        <f t="shared" si="3"/>
        <v>11.25</v>
      </c>
      <c r="Y14" s="6">
        <v>5.125</v>
      </c>
      <c r="Z14" s="5">
        <v>11.25</v>
      </c>
      <c r="AA14" s="5" t="b">
        <f t="shared" ref="AA14:AB14" si="18">W14=Y14</f>
        <v>1</v>
      </c>
      <c r="AB14" s="5" t="b">
        <f t="shared" si="18"/>
        <v>1</v>
      </c>
      <c r="AC14" s="6">
        <v>2.0</v>
      </c>
      <c r="AD14" s="6">
        <v>2.0</v>
      </c>
      <c r="AE14" s="6">
        <v>2.0</v>
      </c>
      <c r="AF14" s="6">
        <v>2.75</v>
      </c>
      <c r="AG14" s="6">
        <v>2.75</v>
      </c>
      <c r="AH14" s="6">
        <v>4.0</v>
      </c>
      <c r="AI14" s="6">
        <v>3.5</v>
      </c>
      <c r="AJ14" s="6">
        <v>2.5</v>
      </c>
      <c r="AK14" s="6">
        <v>2.5</v>
      </c>
      <c r="AL14" s="6">
        <v>2.75</v>
      </c>
      <c r="AM14" s="6">
        <f t="shared" si="15"/>
        <v>2.675</v>
      </c>
      <c r="AN14" s="7">
        <v>2.675</v>
      </c>
      <c r="AO14" s="6" t="b">
        <f t="shared" si="6"/>
        <v>1</v>
      </c>
    </row>
    <row r="15">
      <c r="A15" s="2" t="s">
        <v>53</v>
      </c>
      <c r="B15" s="3"/>
      <c r="C15" s="1">
        <v>7.5</v>
      </c>
      <c r="D15" s="1">
        <v>7.0</v>
      </c>
      <c r="E15" s="1">
        <v>7.5</v>
      </c>
      <c r="F15" s="1">
        <v>7.0</v>
      </c>
      <c r="G15" s="1">
        <v>7.5</v>
      </c>
      <c r="H15" s="1">
        <v>7.0</v>
      </c>
      <c r="I15" s="1">
        <v>8.25</v>
      </c>
      <c r="J15" s="1">
        <v>8.0</v>
      </c>
      <c r="K15" s="1">
        <v>6.0</v>
      </c>
      <c r="L15" s="1">
        <v>7.0</v>
      </c>
      <c r="M15" s="1">
        <v>13.0</v>
      </c>
      <c r="N15" s="1">
        <v>13.0</v>
      </c>
      <c r="O15" s="1">
        <v>12.5</v>
      </c>
      <c r="P15" s="1">
        <v>13.0</v>
      </c>
      <c r="Q15" s="1">
        <v>12.0</v>
      </c>
      <c r="R15" s="1">
        <v>13.0</v>
      </c>
      <c r="S15" s="1">
        <v>13.0</v>
      </c>
      <c r="T15" s="1">
        <v>12.5</v>
      </c>
      <c r="U15" s="1">
        <v>13.0</v>
      </c>
      <c r="V15" s="1">
        <v>13.0</v>
      </c>
      <c r="W15" s="4">
        <f t="shared" si="2"/>
        <v>7.275</v>
      </c>
      <c r="X15" s="4">
        <f t="shared" si="3"/>
        <v>12.8</v>
      </c>
      <c r="Y15" s="5">
        <v>7.275</v>
      </c>
      <c r="Z15" s="5">
        <v>12.8</v>
      </c>
      <c r="AA15" s="5" t="b">
        <f t="shared" ref="AA15:AB15" si="19">W15=Y15</f>
        <v>1</v>
      </c>
      <c r="AB15" s="5" t="b">
        <f t="shared" si="19"/>
        <v>1</v>
      </c>
      <c r="AC15" s="6">
        <v>2.5</v>
      </c>
      <c r="AD15" s="6">
        <v>2.0</v>
      </c>
      <c r="AE15" s="6">
        <v>2.0</v>
      </c>
      <c r="AF15" s="6">
        <v>2.0</v>
      </c>
      <c r="AG15" s="6">
        <v>2.0</v>
      </c>
      <c r="AH15" s="6">
        <v>2.0</v>
      </c>
      <c r="AI15" s="6">
        <v>2.5</v>
      </c>
      <c r="AJ15" s="6">
        <v>2.0</v>
      </c>
      <c r="AK15" s="6">
        <v>3.0</v>
      </c>
      <c r="AL15" s="6">
        <v>1.5</v>
      </c>
      <c r="AM15" s="6">
        <f t="shared" si="15"/>
        <v>2.15</v>
      </c>
      <c r="AN15" s="7">
        <v>2.15</v>
      </c>
      <c r="AO15" s="6" t="b">
        <f t="shared" si="6"/>
        <v>1</v>
      </c>
    </row>
    <row r="16">
      <c r="A16" s="2" t="s">
        <v>54</v>
      </c>
      <c r="B16" s="3"/>
      <c r="C16" s="1">
        <v>7.0</v>
      </c>
      <c r="D16" s="1">
        <v>6.0</v>
      </c>
      <c r="E16" s="1">
        <v>6.0</v>
      </c>
      <c r="F16" s="1">
        <v>5.5</v>
      </c>
      <c r="G16" s="1">
        <v>6.0</v>
      </c>
      <c r="H16" s="1">
        <v>6.5</v>
      </c>
      <c r="I16" s="1">
        <v>6.5</v>
      </c>
      <c r="J16" s="1">
        <v>6.0</v>
      </c>
      <c r="K16" s="1">
        <v>6.5</v>
      </c>
      <c r="L16" s="1">
        <v>6.0</v>
      </c>
      <c r="M16" s="1">
        <v>11.0</v>
      </c>
      <c r="N16" s="1">
        <v>12.0</v>
      </c>
      <c r="O16" s="1">
        <v>13.0</v>
      </c>
      <c r="P16" s="1">
        <v>13.0</v>
      </c>
      <c r="Q16" s="1">
        <v>13.0</v>
      </c>
      <c r="R16" s="1">
        <v>12.0</v>
      </c>
      <c r="S16" s="1">
        <v>13.0</v>
      </c>
      <c r="T16" s="1">
        <v>13.0</v>
      </c>
      <c r="U16" s="1">
        <v>14.25</v>
      </c>
      <c r="V16" s="1">
        <v>12.0</v>
      </c>
      <c r="W16" s="4">
        <f t="shared" si="2"/>
        <v>6.2</v>
      </c>
      <c r="X16" s="4">
        <f t="shared" si="3"/>
        <v>12.625</v>
      </c>
      <c r="Y16" s="5">
        <v>6.2</v>
      </c>
      <c r="Z16" s="5">
        <v>12.625</v>
      </c>
      <c r="AA16" s="5" t="b">
        <f t="shared" ref="AA16:AB16" si="20">W16=Y16</f>
        <v>1</v>
      </c>
      <c r="AB16" s="5" t="b">
        <f t="shared" si="20"/>
        <v>1</v>
      </c>
      <c r="AC16" s="6">
        <v>3.0</v>
      </c>
      <c r="AD16" s="6">
        <v>3.0</v>
      </c>
      <c r="AE16" s="6">
        <v>3.5</v>
      </c>
      <c r="AF16" s="6">
        <v>3.0</v>
      </c>
      <c r="AG16" s="6">
        <v>3.0</v>
      </c>
      <c r="AH16" s="6">
        <v>3.0</v>
      </c>
      <c r="AI16" s="6">
        <v>3.0</v>
      </c>
      <c r="AJ16" s="6">
        <v>3.0</v>
      </c>
      <c r="AK16" s="6">
        <v>3.75</v>
      </c>
      <c r="AL16" s="6">
        <v>3.0</v>
      </c>
      <c r="AM16" s="6">
        <f t="shared" si="15"/>
        <v>3.125</v>
      </c>
      <c r="AN16" s="7">
        <v>3.125</v>
      </c>
      <c r="AO16" s="6" t="b">
        <f t="shared" si="6"/>
        <v>1</v>
      </c>
    </row>
    <row r="17">
      <c r="A17" s="2" t="s">
        <v>55</v>
      </c>
      <c r="B17" s="3">
        <v>2.0</v>
      </c>
      <c r="C17" s="1">
        <v>4.0</v>
      </c>
      <c r="D17" s="1">
        <v>4.5</v>
      </c>
      <c r="E17" s="1">
        <v>4.0</v>
      </c>
      <c r="F17" s="1">
        <v>5.0</v>
      </c>
      <c r="G17" s="1">
        <v>4.0</v>
      </c>
      <c r="H17" s="1">
        <v>4.0</v>
      </c>
      <c r="I17" s="1">
        <v>4.5</v>
      </c>
      <c r="J17" s="1">
        <v>4.0</v>
      </c>
      <c r="K17" s="1">
        <v>4.0</v>
      </c>
      <c r="L17" s="1">
        <v>4.0</v>
      </c>
      <c r="M17" s="1">
        <v>9.5</v>
      </c>
      <c r="N17" s="1">
        <v>9.0</v>
      </c>
      <c r="O17" s="1">
        <v>10.0</v>
      </c>
      <c r="P17" s="1">
        <v>10.0</v>
      </c>
      <c r="Q17" s="1">
        <v>10.0</v>
      </c>
      <c r="R17" s="1">
        <v>9.0</v>
      </c>
      <c r="S17" s="1">
        <v>10.0</v>
      </c>
      <c r="T17" s="1">
        <v>9.0</v>
      </c>
      <c r="U17" s="1">
        <v>10.0</v>
      </c>
      <c r="V17" s="1">
        <v>9.0</v>
      </c>
      <c r="W17" s="4">
        <f t="shared" si="2"/>
        <v>4.2</v>
      </c>
      <c r="X17" s="4">
        <f t="shared" si="3"/>
        <v>9.55</v>
      </c>
      <c r="Y17" s="5">
        <v>4.2</v>
      </c>
      <c r="Z17" s="5">
        <v>9.55</v>
      </c>
      <c r="AA17" s="5" t="b">
        <f t="shared" ref="AA17:AB17" si="21">W17=Y17</f>
        <v>1</v>
      </c>
      <c r="AB17" s="5" t="b">
        <f t="shared" si="21"/>
        <v>1</v>
      </c>
      <c r="AC17" s="6">
        <v>3.5</v>
      </c>
      <c r="AD17" s="6">
        <v>3.0</v>
      </c>
      <c r="AE17" s="6">
        <v>3.0</v>
      </c>
      <c r="AF17" s="6">
        <v>3.0</v>
      </c>
      <c r="AG17" s="6">
        <v>3.5</v>
      </c>
      <c r="AH17" s="6">
        <v>3.0</v>
      </c>
      <c r="AI17" s="6">
        <v>3.0</v>
      </c>
      <c r="AJ17" s="6">
        <v>3.0</v>
      </c>
      <c r="AK17" s="6">
        <v>2.0</v>
      </c>
      <c r="AL17" s="6">
        <v>2.5</v>
      </c>
      <c r="AM17" s="6">
        <f t="shared" si="15"/>
        <v>2.95</v>
      </c>
      <c r="AN17" s="7">
        <v>2.95</v>
      </c>
      <c r="AO17" s="6" t="b">
        <f t="shared" si="6"/>
        <v>1</v>
      </c>
    </row>
    <row r="18">
      <c r="A18" s="2" t="s">
        <v>56</v>
      </c>
      <c r="B18" s="3">
        <v>1.0</v>
      </c>
      <c r="C18" s="1">
        <v>7.0</v>
      </c>
      <c r="D18" s="1">
        <v>7.0</v>
      </c>
      <c r="E18" s="1">
        <v>7.5</v>
      </c>
      <c r="F18" s="1">
        <v>7.0</v>
      </c>
      <c r="G18" s="1">
        <v>6.5</v>
      </c>
      <c r="H18" s="1">
        <v>6.0</v>
      </c>
      <c r="I18" s="1">
        <v>7.5</v>
      </c>
      <c r="J18" s="1">
        <v>7.0</v>
      </c>
      <c r="K18" s="1">
        <v>7.0</v>
      </c>
      <c r="L18" s="1">
        <v>7.0</v>
      </c>
      <c r="M18" s="1">
        <v>12.0</v>
      </c>
      <c r="N18" s="1">
        <v>14.0</v>
      </c>
      <c r="O18" s="1">
        <v>14.0</v>
      </c>
      <c r="P18" s="1">
        <v>13.0</v>
      </c>
      <c r="Q18" s="1">
        <v>13.0</v>
      </c>
      <c r="R18" s="1">
        <v>15.0</v>
      </c>
      <c r="S18" s="1">
        <v>14.0</v>
      </c>
      <c r="T18" s="1">
        <v>14.0</v>
      </c>
      <c r="U18" s="1">
        <v>14.0</v>
      </c>
      <c r="V18" s="1">
        <v>13.5</v>
      </c>
      <c r="W18" s="4">
        <f t="shared" si="2"/>
        <v>6.95</v>
      </c>
      <c r="X18" s="4">
        <f t="shared" si="3"/>
        <v>13.65</v>
      </c>
      <c r="Y18" s="5">
        <v>6.95</v>
      </c>
      <c r="Z18" s="5">
        <v>13.65</v>
      </c>
      <c r="AA18" s="5" t="b">
        <f t="shared" ref="AA18:AB18" si="22">W18=Y18</f>
        <v>1</v>
      </c>
      <c r="AB18" s="5" t="b">
        <f t="shared" si="22"/>
        <v>1</v>
      </c>
      <c r="AC18" s="6">
        <v>4.0</v>
      </c>
      <c r="AD18" s="6">
        <v>5.0</v>
      </c>
      <c r="AE18" s="6">
        <v>4.0</v>
      </c>
      <c r="AF18" s="6">
        <v>3.0</v>
      </c>
      <c r="AG18" s="6">
        <v>3.5</v>
      </c>
      <c r="AH18" s="6">
        <v>4.5</v>
      </c>
      <c r="AI18" s="6">
        <v>4.0</v>
      </c>
      <c r="AJ18" s="6">
        <v>4.5</v>
      </c>
      <c r="AK18" s="6">
        <v>3.0</v>
      </c>
      <c r="AL18" s="6">
        <v>4.0</v>
      </c>
      <c r="AM18" s="6">
        <f t="shared" si="15"/>
        <v>3.95</v>
      </c>
      <c r="AN18" s="7">
        <v>3.95</v>
      </c>
      <c r="AO18" s="6" t="b">
        <f t="shared" si="6"/>
        <v>1</v>
      </c>
    </row>
    <row r="19">
      <c r="A19" s="2" t="s">
        <v>57</v>
      </c>
      <c r="B19" s="3">
        <v>1.0</v>
      </c>
      <c r="C19" s="1">
        <v>6.25</v>
      </c>
      <c r="D19" s="1">
        <v>6.25</v>
      </c>
      <c r="E19" s="1">
        <v>7.0</v>
      </c>
      <c r="F19" s="1">
        <v>6.5</v>
      </c>
      <c r="G19" s="1">
        <v>6.25</v>
      </c>
      <c r="H19" s="1">
        <v>7.0</v>
      </c>
      <c r="I19" s="1">
        <v>6.5</v>
      </c>
      <c r="J19" s="1">
        <v>6.5</v>
      </c>
      <c r="K19" s="1">
        <v>7.0</v>
      </c>
      <c r="L19" s="1">
        <v>6.0</v>
      </c>
      <c r="M19" s="1">
        <v>14.0</v>
      </c>
      <c r="N19" s="1">
        <v>14.0</v>
      </c>
      <c r="O19" s="1">
        <v>12.0</v>
      </c>
      <c r="P19" s="1">
        <v>12.5</v>
      </c>
      <c r="Q19" s="1">
        <v>14.0</v>
      </c>
      <c r="R19" s="1">
        <v>12.0</v>
      </c>
      <c r="S19" s="1">
        <v>14.5</v>
      </c>
      <c r="T19" s="1">
        <v>12.0</v>
      </c>
      <c r="U19" s="1">
        <v>14.0</v>
      </c>
      <c r="V19" s="1">
        <v>13.0</v>
      </c>
      <c r="W19" s="4">
        <f t="shared" si="2"/>
        <v>6.525</v>
      </c>
      <c r="X19" s="4">
        <f t="shared" si="3"/>
        <v>13.2</v>
      </c>
      <c r="Y19" s="6">
        <v>6.525</v>
      </c>
      <c r="Z19" s="5">
        <v>13.2</v>
      </c>
      <c r="AA19" s="5" t="b">
        <f t="shared" ref="AA19:AB19" si="23">W19=Y19</f>
        <v>1</v>
      </c>
      <c r="AB19" s="5" t="b">
        <f t="shared" si="23"/>
        <v>1</v>
      </c>
      <c r="AC19" s="6">
        <v>3.5</v>
      </c>
      <c r="AD19" s="6">
        <v>3.0</v>
      </c>
      <c r="AE19" s="6">
        <v>3.5</v>
      </c>
      <c r="AF19" s="6">
        <v>3.0</v>
      </c>
      <c r="AG19" s="6">
        <v>4.0</v>
      </c>
      <c r="AH19" s="6">
        <v>3.0</v>
      </c>
      <c r="AI19" s="6">
        <v>3.0</v>
      </c>
      <c r="AJ19" s="6">
        <v>3.0</v>
      </c>
      <c r="AK19" s="6">
        <v>3.5</v>
      </c>
      <c r="AL19" s="6">
        <v>4.0</v>
      </c>
      <c r="AM19" s="6">
        <f t="shared" si="15"/>
        <v>3.35</v>
      </c>
      <c r="AN19" s="7">
        <v>3.35</v>
      </c>
      <c r="AO19" s="6" t="b">
        <f t="shared" si="6"/>
        <v>1</v>
      </c>
    </row>
    <row r="20">
      <c r="A20" s="2" t="s">
        <v>58</v>
      </c>
      <c r="B20" s="3"/>
      <c r="C20" s="1">
        <v>6.0</v>
      </c>
      <c r="D20" s="1">
        <v>5.5</v>
      </c>
      <c r="E20" s="1">
        <v>6.0</v>
      </c>
      <c r="F20" s="1">
        <v>6.0</v>
      </c>
      <c r="G20" s="1">
        <v>7.0</v>
      </c>
      <c r="H20" s="1">
        <v>7.0</v>
      </c>
      <c r="I20" s="1">
        <v>6.0</v>
      </c>
      <c r="J20" s="1">
        <v>6.0</v>
      </c>
      <c r="K20" s="1">
        <v>5.5</v>
      </c>
      <c r="L20" s="1">
        <v>6.0</v>
      </c>
      <c r="M20" s="1">
        <v>9.0</v>
      </c>
      <c r="N20" s="1">
        <v>10.0</v>
      </c>
      <c r="O20" s="1">
        <v>10.0</v>
      </c>
      <c r="P20" s="1">
        <v>11.5</v>
      </c>
      <c r="Q20" s="1">
        <v>11.0</v>
      </c>
      <c r="R20" s="1">
        <v>12.5</v>
      </c>
      <c r="S20" s="1">
        <v>13.0</v>
      </c>
      <c r="T20" s="1">
        <v>12.0</v>
      </c>
      <c r="U20" s="1">
        <v>11.5</v>
      </c>
      <c r="V20" s="1">
        <v>12.0</v>
      </c>
      <c r="W20" s="4">
        <f t="shared" si="2"/>
        <v>6.1</v>
      </c>
      <c r="X20" s="4">
        <f t="shared" si="3"/>
        <v>11.25</v>
      </c>
      <c r="Y20" s="5">
        <v>6.1</v>
      </c>
      <c r="Z20" s="6">
        <v>11.25</v>
      </c>
      <c r="AA20" s="5" t="b">
        <f t="shared" ref="AA20:AB20" si="24">W20=Y20</f>
        <v>1</v>
      </c>
      <c r="AB20" s="5" t="b">
        <f t="shared" si="24"/>
        <v>1</v>
      </c>
      <c r="AC20" s="6">
        <v>2.0</v>
      </c>
      <c r="AD20" s="6">
        <v>2.0</v>
      </c>
      <c r="AE20" s="6">
        <v>2.0</v>
      </c>
      <c r="AF20" s="6">
        <v>2.5</v>
      </c>
      <c r="AG20" s="6">
        <v>2.5</v>
      </c>
      <c r="AH20" s="6">
        <v>2.5</v>
      </c>
      <c r="AI20" s="6">
        <v>2.5</v>
      </c>
      <c r="AJ20" s="6">
        <v>2.5</v>
      </c>
      <c r="AK20" s="6">
        <v>3.0</v>
      </c>
      <c r="AL20" s="6">
        <v>3.0</v>
      </c>
      <c r="AM20" s="6">
        <f t="shared" si="15"/>
        <v>2.45</v>
      </c>
      <c r="AN20" s="7">
        <v>2.45</v>
      </c>
      <c r="AO20" s="6" t="b">
        <f t="shared" si="6"/>
        <v>1</v>
      </c>
    </row>
    <row r="21">
      <c r="A21" s="2">
        <v>140702.0</v>
      </c>
      <c r="B21" s="3"/>
      <c r="C21" s="1">
        <v>6.0</v>
      </c>
      <c r="D21" s="1">
        <v>6.5</v>
      </c>
      <c r="E21" s="1">
        <v>6.5</v>
      </c>
      <c r="F21" s="1">
        <v>6.0</v>
      </c>
      <c r="G21" s="1">
        <v>6.5</v>
      </c>
      <c r="H21" s="1">
        <v>5.5</v>
      </c>
      <c r="I21" s="1">
        <v>6.0</v>
      </c>
      <c r="J21" s="1">
        <v>5.0</v>
      </c>
      <c r="K21" s="1">
        <v>5.5</v>
      </c>
      <c r="L21" s="1">
        <v>7.0</v>
      </c>
      <c r="M21" s="1">
        <v>13.0</v>
      </c>
      <c r="N21" s="1">
        <v>15.0</v>
      </c>
      <c r="O21" s="1">
        <v>15.0</v>
      </c>
      <c r="P21" s="1">
        <v>13.0</v>
      </c>
      <c r="Q21" s="1">
        <v>12.5</v>
      </c>
      <c r="R21" s="1">
        <v>12.0</v>
      </c>
      <c r="S21" s="1">
        <v>12.0</v>
      </c>
      <c r="T21" s="1">
        <v>13.0</v>
      </c>
      <c r="U21" s="1">
        <v>13.0</v>
      </c>
      <c r="V21" s="1">
        <v>14.0</v>
      </c>
      <c r="W21" s="4">
        <f t="shared" si="2"/>
        <v>6.05</v>
      </c>
      <c r="X21" s="4">
        <f t="shared" si="3"/>
        <v>13.25</v>
      </c>
      <c r="Y21" s="5">
        <v>6.05</v>
      </c>
      <c r="Z21" s="6">
        <v>13.25</v>
      </c>
      <c r="AA21" s="5" t="b">
        <f t="shared" ref="AA21:AB21" si="25">W21=Y21</f>
        <v>1</v>
      </c>
      <c r="AB21" s="5" t="b">
        <f t="shared" si="25"/>
        <v>1</v>
      </c>
      <c r="AC21" s="6">
        <v>3.5</v>
      </c>
      <c r="AD21" s="6">
        <v>4.0</v>
      </c>
      <c r="AE21" s="6">
        <v>4.0</v>
      </c>
      <c r="AF21" s="6">
        <v>4.0</v>
      </c>
      <c r="AG21" s="6">
        <v>4.0</v>
      </c>
      <c r="AH21" s="6">
        <v>4.0</v>
      </c>
      <c r="AI21" s="6">
        <v>3.0</v>
      </c>
      <c r="AJ21" s="6">
        <v>4.0</v>
      </c>
      <c r="AK21" s="6">
        <v>3.0</v>
      </c>
      <c r="AL21" s="6">
        <v>3.5</v>
      </c>
      <c r="AM21" s="6">
        <f t="shared" si="15"/>
        <v>3.7</v>
      </c>
      <c r="AN21" s="7">
        <v>3.7</v>
      </c>
      <c r="AO21" s="6" t="b">
        <f t="shared" si="6"/>
        <v>1</v>
      </c>
    </row>
    <row r="22">
      <c r="A22" s="2" t="s">
        <v>59</v>
      </c>
      <c r="B22" s="3"/>
      <c r="C22" s="1">
        <v>6.0</v>
      </c>
      <c r="D22" s="1">
        <v>5.5</v>
      </c>
      <c r="E22" s="1">
        <v>5.5</v>
      </c>
      <c r="F22" s="1">
        <v>5.25</v>
      </c>
      <c r="G22" s="1">
        <v>5.5</v>
      </c>
      <c r="H22" s="1">
        <v>4.0</v>
      </c>
      <c r="I22" s="1">
        <v>5.25</v>
      </c>
      <c r="J22" s="1">
        <v>4.5</v>
      </c>
      <c r="K22" s="1">
        <v>5.0</v>
      </c>
      <c r="L22" s="1">
        <v>6.0</v>
      </c>
      <c r="M22" s="1">
        <v>13.0</v>
      </c>
      <c r="N22" s="1">
        <v>11.5</v>
      </c>
      <c r="O22" s="1">
        <v>10.0</v>
      </c>
      <c r="P22" s="1">
        <v>11.0</v>
      </c>
      <c r="Q22" s="1">
        <v>11.0</v>
      </c>
      <c r="R22" s="1">
        <v>10.0</v>
      </c>
      <c r="S22" s="1">
        <v>11.0</v>
      </c>
      <c r="T22" s="1">
        <v>12.0</v>
      </c>
      <c r="U22" s="1">
        <v>11.0</v>
      </c>
      <c r="V22" s="1">
        <v>11.5</v>
      </c>
      <c r="W22" s="4">
        <f t="shared" si="2"/>
        <v>5.25</v>
      </c>
      <c r="X22" s="4">
        <f t="shared" si="3"/>
        <v>11.2</v>
      </c>
      <c r="Y22" s="6">
        <v>5.25</v>
      </c>
      <c r="Z22" s="5">
        <v>11.2</v>
      </c>
      <c r="AA22" s="5" t="b">
        <f t="shared" ref="AA22:AB22" si="26">W22=Y22</f>
        <v>1</v>
      </c>
      <c r="AB22" s="5" t="b">
        <f t="shared" si="26"/>
        <v>1</v>
      </c>
      <c r="AC22" s="6">
        <v>3.0</v>
      </c>
      <c r="AD22" s="6">
        <v>2.75</v>
      </c>
      <c r="AE22" s="6">
        <v>2.5</v>
      </c>
      <c r="AF22" s="6">
        <v>3.0</v>
      </c>
      <c r="AG22" s="6">
        <v>3.0</v>
      </c>
      <c r="AH22" s="6">
        <v>2.5</v>
      </c>
      <c r="AI22" s="6">
        <v>2.75</v>
      </c>
      <c r="AJ22" s="6">
        <v>3.0</v>
      </c>
      <c r="AK22" s="6">
        <v>3.0</v>
      </c>
      <c r="AL22" s="6">
        <v>3.5</v>
      </c>
      <c r="AM22" s="6">
        <f t="shared" si="15"/>
        <v>2.9</v>
      </c>
      <c r="AN22" s="7">
        <v>2.9</v>
      </c>
      <c r="AO22" s="6" t="b">
        <f t="shared" si="6"/>
        <v>1</v>
      </c>
    </row>
    <row r="23">
      <c r="A23" s="8" t="s">
        <v>60</v>
      </c>
      <c r="B23" s="3"/>
      <c r="C23" s="1">
        <v>6.5</v>
      </c>
      <c r="D23" s="1">
        <v>7.0</v>
      </c>
      <c r="E23" s="1">
        <v>7.0</v>
      </c>
      <c r="F23" s="1">
        <v>8.0</v>
      </c>
      <c r="G23" s="1">
        <v>7.25</v>
      </c>
      <c r="H23" s="1">
        <v>6.5</v>
      </c>
      <c r="I23" s="1">
        <v>7.5</v>
      </c>
      <c r="J23" s="1">
        <v>7.0</v>
      </c>
      <c r="K23" s="1">
        <v>7.0</v>
      </c>
      <c r="L23" s="1">
        <v>8.0</v>
      </c>
      <c r="M23" s="1">
        <v>13.0</v>
      </c>
      <c r="N23" s="1">
        <v>12.0</v>
      </c>
      <c r="O23" s="1">
        <v>13.0</v>
      </c>
      <c r="P23" s="1">
        <v>15.0</v>
      </c>
      <c r="Q23" s="1">
        <v>13.0</v>
      </c>
      <c r="R23" s="1">
        <v>12.5</v>
      </c>
      <c r="S23" s="1">
        <v>14.5</v>
      </c>
      <c r="T23" s="1">
        <v>13.0</v>
      </c>
      <c r="U23" s="1">
        <v>13.0</v>
      </c>
      <c r="V23" s="1">
        <v>14.0</v>
      </c>
      <c r="W23" s="4">
        <f t="shared" si="2"/>
        <v>7.175</v>
      </c>
      <c r="X23" s="4">
        <f t="shared" si="3"/>
        <v>13.3</v>
      </c>
      <c r="Y23" s="5">
        <v>7.175</v>
      </c>
      <c r="Z23" s="5">
        <v>13.3</v>
      </c>
      <c r="AA23" s="5" t="b">
        <f t="shared" ref="AA23:AB23" si="27">W23=Y23</f>
        <v>1</v>
      </c>
      <c r="AB23" s="5" t="b">
        <f t="shared" si="27"/>
        <v>1</v>
      </c>
      <c r="AC23" s="6">
        <v>4.5</v>
      </c>
      <c r="AD23" s="6">
        <v>5.0</v>
      </c>
      <c r="AE23" s="6">
        <v>4.75</v>
      </c>
      <c r="AF23" s="6">
        <v>4.0</v>
      </c>
      <c r="AG23" s="6">
        <v>4.0</v>
      </c>
      <c r="AH23" s="6">
        <v>3.75</v>
      </c>
      <c r="AI23" s="6">
        <v>4.5</v>
      </c>
      <c r="AJ23" s="6">
        <v>4.5</v>
      </c>
      <c r="AK23" s="6">
        <v>4.75</v>
      </c>
      <c r="AL23" s="6">
        <v>4.0</v>
      </c>
      <c r="AM23" s="6">
        <f t="shared" si="15"/>
        <v>4.375</v>
      </c>
      <c r="AN23" s="7">
        <v>4.375</v>
      </c>
      <c r="AO23" s="6" t="b">
        <f t="shared" si="6"/>
        <v>1</v>
      </c>
    </row>
    <row r="24">
      <c r="A24" s="2" t="s">
        <v>61</v>
      </c>
      <c r="B24" s="3">
        <v>1.0</v>
      </c>
      <c r="C24" s="1">
        <v>6.5</v>
      </c>
      <c r="D24" s="1">
        <v>7.0</v>
      </c>
      <c r="E24" s="1">
        <v>8.0</v>
      </c>
      <c r="F24" s="1">
        <v>6.5</v>
      </c>
      <c r="G24" s="1">
        <v>7.0</v>
      </c>
      <c r="H24" s="1">
        <v>7.0</v>
      </c>
      <c r="I24" s="1">
        <v>6.0</v>
      </c>
      <c r="J24" s="1">
        <v>7.0</v>
      </c>
      <c r="K24" s="1">
        <v>7.0</v>
      </c>
      <c r="L24" s="1">
        <v>7.0</v>
      </c>
      <c r="M24" s="1">
        <v>11.0</v>
      </c>
      <c r="N24" s="1">
        <v>12.0</v>
      </c>
      <c r="O24" s="1">
        <v>12.0</v>
      </c>
      <c r="P24" s="1">
        <v>11.0</v>
      </c>
      <c r="Q24" s="1">
        <v>12.0</v>
      </c>
      <c r="R24" s="1">
        <v>12.0</v>
      </c>
      <c r="S24" s="1">
        <v>13.0</v>
      </c>
      <c r="T24" s="1">
        <v>13.0</v>
      </c>
      <c r="U24" s="1">
        <v>12.0</v>
      </c>
      <c r="V24" s="1">
        <v>11.0</v>
      </c>
      <c r="W24" s="4">
        <f t="shared" si="2"/>
        <v>6.9</v>
      </c>
      <c r="X24" s="4">
        <f t="shared" si="3"/>
        <v>11.9</v>
      </c>
      <c r="Y24" s="5">
        <v>6.9</v>
      </c>
      <c r="Z24" s="5">
        <v>11.9</v>
      </c>
      <c r="AA24" s="5" t="b">
        <f t="shared" ref="AA24:AB24" si="28">W24=Y24</f>
        <v>1</v>
      </c>
      <c r="AB24" s="5" t="b">
        <f t="shared" si="28"/>
        <v>1</v>
      </c>
      <c r="AC24" s="6">
        <v>2.0</v>
      </c>
      <c r="AD24" s="6">
        <v>3.0</v>
      </c>
      <c r="AE24" s="6">
        <v>3.0</v>
      </c>
      <c r="AF24" s="6">
        <v>3.0</v>
      </c>
      <c r="AG24" s="6">
        <v>3.0</v>
      </c>
      <c r="AH24" s="6">
        <v>2.75</v>
      </c>
      <c r="AI24" s="6">
        <v>3.5</v>
      </c>
      <c r="AJ24" s="6">
        <v>3.0</v>
      </c>
      <c r="AK24" s="6">
        <v>3.5</v>
      </c>
      <c r="AL24" s="6">
        <v>3.0</v>
      </c>
      <c r="AM24" s="6">
        <f t="shared" si="15"/>
        <v>2.975</v>
      </c>
      <c r="AN24" s="7">
        <v>2.975</v>
      </c>
      <c r="AO24" s="6" t="b">
        <f t="shared" si="6"/>
        <v>1</v>
      </c>
    </row>
    <row r="25">
      <c r="A25" s="2" t="s">
        <v>62</v>
      </c>
      <c r="B25" s="3">
        <v>2.0</v>
      </c>
      <c r="C25" s="1">
        <v>5.0</v>
      </c>
      <c r="D25" s="1">
        <v>4.5</v>
      </c>
      <c r="E25" s="1">
        <v>4.5</v>
      </c>
      <c r="F25" s="1">
        <v>4.0</v>
      </c>
      <c r="G25" s="1">
        <v>4.0</v>
      </c>
      <c r="H25" s="1">
        <v>4.0</v>
      </c>
      <c r="I25" s="1">
        <v>4.25</v>
      </c>
      <c r="J25" s="1">
        <v>4.0</v>
      </c>
      <c r="K25" s="1">
        <v>4.5</v>
      </c>
      <c r="L25" s="1">
        <v>4.5</v>
      </c>
      <c r="M25" s="1">
        <v>11.0</v>
      </c>
      <c r="N25" s="1">
        <v>11.0</v>
      </c>
      <c r="O25" s="1">
        <v>10.0</v>
      </c>
      <c r="P25" s="1">
        <v>9.0</v>
      </c>
      <c r="Q25" s="1">
        <v>11.0</v>
      </c>
      <c r="R25" s="1">
        <v>11.0</v>
      </c>
      <c r="S25" s="1">
        <v>11.0</v>
      </c>
      <c r="T25" s="1">
        <v>10.0</v>
      </c>
      <c r="U25" s="1">
        <v>12.0</v>
      </c>
      <c r="V25" s="1">
        <v>10.0</v>
      </c>
      <c r="W25" s="4">
        <f t="shared" si="2"/>
        <v>4.325</v>
      </c>
      <c r="X25" s="4">
        <f t="shared" si="3"/>
        <v>10.6</v>
      </c>
      <c r="Y25" s="5">
        <v>4.325</v>
      </c>
      <c r="Z25" s="5">
        <v>10.6</v>
      </c>
      <c r="AA25" s="5" t="b">
        <f t="shared" ref="AA25:AB25" si="29">W25=Y25</f>
        <v>1</v>
      </c>
      <c r="AB25" s="5" t="b">
        <f t="shared" si="29"/>
        <v>1</v>
      </c>
      <c r="AC25" s="6">
        <v>3.5</v>
      </c>
      <c r="AD25" s="6">
        <v>3.5</v>
      </c>
      <c r="AE25" s="6">
        <v>2.5</v>
      </c>
      <c r="AF25" s="6">
        <v>2.5</v>
      </c>
      <c r="AG25" s="6">
        <v>3.5</v>
      </c>
      <c r="AH25" s="6">
        <v>4.0</v>
      </c>
      <c r="AI25" s="6">
        <v>3.0</v>
      </c>
      <c r="AJ25" s="6">
        <v>3.0</v>
      </c>
      <c r="AK25" s="6">
        <v>3.75</v>
      </c>
      <c r="AL25" s="6">
        <v>3.0</v>
      </c>
      <c r="AM25" s="6">
        <f t="shared" si="15"/>
        <v>3.225</v>
      </c>
      <c r="AN25" s="7">
        <v>3.225</v>
      </c>
      <c r="AO25" s="6" t="b">
        <f t="shared" si="6"/>
        <v>1</v>
      </c>
    </row>
    <row r="26">
      <c r="A26" s="2" t="s">
        <v>63</v>
      </c>
      <c r="B26" s="3">
        <v>2.0</v>
      </c>
      <c r="C26" s="1">
        <v>6.0</v>
      </c>
      <c r="D26" s="1">
        <v>5.5</v>
      </c>
      <c r="E26" s="1">
        <v>6.0</v>
      </c>
      <c r="F26" s="1">
        <v>5.5</v>
      </c>
      <c r="G26" s="1">
        <v>6.0</v>
      </c>
      <c r="H26" s="1">
        <v>5.5</v>
      </c>
      <c r="I26" s="1">
        <v>5.0</v>
      </c>
      <c r="J26" s="1">
        <v>5.5</v>
      </c>
      <c r="K26" s="1">
        <v>6.25</v>
      </c>
      <c r="L26" s="1">
        <v>5.0</v>
      </c>
      <c r="M26" s="1">
        <v>14.0</v>
      </c>
      <c r="N26" s="1">
        <v>13.0</v>
      </c>
      <c r="O26" s="1">
        <v>15.0</v>
      </c>
      <c r="P26" s="1">
        <v>12.5</v>
      </c>
      <c r="Q26" s="1">
        <v>12.0</v>
      </c>
      <c r="R26" s="1">
        <v>12.0</v>
      </c>
      <c r="S26" s="1">
        <v>12.0</v>
      </c>
      <c r="T26" s="1">
        <v>12.0</v>
      </c>
      <c r="U26" s="1">
        <v>12.5</v>
      </c>
      <c r="V26" s="1">
        <v>12.0</v>
      </c>
      <c r="W26" s="4">
        <f t="shared" si="2"/>
        <v>5.625</v>
      </c>
      <c r="X26" s="4">
        <f t="shared" si="3"/>
        <v>12.7</v>
      </c>
      <c r="Y26" s="5">
        <v>5.625</v>
      </c>
      <c r="Z26" s="6">
        <v>12.7</v>
      </c>
      <c r="AA26" s="5" t="b">
        <f t="shared" ref="AA26:AB26" si="30">W26=Y26</f>
        <v>1</v>
      </c>
      <c r="AB26" s="5" t="b">
        <f t="shared" si="30"/>
        <v>1</v>
      </c>
      <c r="AC26" s="6">
        <v>4.0</v>
      </c>
      <c r="AD26" s="6">
        <v>3.5</v>
      </c>
      <c r="AE26" s="6">
        <v>3.0</v>
      </c>
      <c r="AF26" s="6">
        <v>4.0</v>
      </c>
      <c r="AG26" s="6">
        <v>4.0</v>
      </c>
      <c r="AH26" s="6">
        <v>4.0</v>
      </c>
      <c r="AI26" s="6">
        <v>3.75</v>
      </c>
      <c r="AJ26" s="6">
        <v>4.0</v>
      </c>
      <c r="AK26" s="6">
        <v>4.0</v>
      </c>
      <c r="AL26" s="6">
        <v>4.0</v>
      </c>
      <c r="AM26" s="6">
        <f t="shared" si="15"/>
        <v>3.825</v>
      </c>
      <c r="AN26" s="7">
        <v>3.825</v>
      </c>
      <c r="AO26" s="6" t="b">
        <f t="shared" si="6"/>
        <v>1</v>
      </c>
    </row>
    <row r="27">
      <c r="A27" s="2" t="s">
        <v>64</v>
      </c>
      <c r="B27" s="3">
        <v>3.0</v>
      </c>
      <c r="C27" s="1">
        <v>7.5</v>
      </c>
      <c r="D27" s="1">
        <v>5.5</v>
      </c>
      <c r="E27" s="1">
        <v>6.0</v>
      </c>
      <c r="F27" s="1">
        <v>6.0</v>
      </c>
      <c r="G27" s="1">
        <v>5.5</v>
      </c>
      <c r="H27" s="1">
        <v>5.25</v>
      </c>
      <c r="I27" s="1">
        <v>5.0</v>
      </c>
      <c r="J27" s="1">
        <v>5.0</v>
      </c>
      <c r="K27" s="1">
        <v>5.0</v>
      </c>
      <c r="L27" s="1">
        <v>5.0</v>
      </c>
      <c r="M27" s="5">
        <v>12.5</v>
      </c>
      <c r="N27" s="5">
        <v>14.5</v>
      </c>
      <c r="O27" s="5">
        <v>11.0</v>
      </c>
      <c r="P27" s="5">
        <v>10.0</v>
      </c>
      <c r="Q27" s="5">
        <v>11.0</v>
      </c>
      <c r="R27" s="5">
        <v>10.0</v>
      </c>
      <c r="S27" s="5">
        <v>11.0</v>
      </c>
      <c r="T27" s="5">
        <v>11.0</v>
      </c>
      <c r="U27" s="5">
        <v>11.0</v>
      </c>
      <c r="V27" s="5">
        <v>10.0</v>
      </c>
      <c r="W27" s="4">
        <f t="shared" si="2"/>
        <v>5.575</v>
      </c>
      <c r="X27" s="4">
        <f t="shared" si="3"/>
        <v>11.2</v>
      </c>
      <c r="Y27" s="5">
        <v>5.575</v>
      </c>
      <c r="Z27" s="5">
        <v>11.2</v>
      </c>
      <c r="AA27" s="5" t="b">
        <f t="shared" ref="AA27:AB27" si="31">W27=Y27</f>
        <v>1</v>
      </c>
      <c r="AB27" s="5" t="b">
        <f t="shared" si="31"/>
        <v>1</v>
      </c>
      <c r="AC27" s="6">
        <v>4.0</v>
      </c>
      <c r="AD27" s="6">
        <v>2.0</v>
      </c>
      <c r="AE27" s="6">
        <v>2.75</v>
      </c>
      <c r="AF27" s="6">
        <v>2.0</v>
      </c>
      <c r="AG27" s="6">
        <v>3.0</v>
      </c>
      <c r="AH27" s="6">
        <v>3.0</v>
      </c>
      <c r="AI27" s="6">
        <v>3.0</v>
      </c>
      <c r="AJ27" s="6">
        <v>3.5</v>
      </c>
      <c r="AK27" s="6">
        <v>2.75</v>
      </c>
      <c r="AL27" s="6">
        <v>2.5</v>
      </c>
      <c r="AM27" s="6">
        <f t="shared" si="15"/>
        <v>2.85</v>
      </c>
      <c r="AN27" s="7">
        <v>2.85</v>
      </c>
      <c r="AO27" s="6" t="b">
        <f t="shared" si="6"/>
        <v>1</v>
      </c>
    </row>
    <row r="28">
      <c r="A28" s="2" t="s">
        <v>65</v>
      </c>
      <c r="B28" s="3">
        <v>1.0</v>
      </c>
      <c r="C28" s="1">
        <v>6.25</v>
      </c>
      <c r="D28" s="1">
        <v>6.5</v>
      </c>
      <c r="E28" s="1">
        <v>6.25</v>
      </c>
      <c r="F28" s="1">
        <v>7.5</v>
      </c>
      <c r="G28" s="1">
        <v>6.75</v>
      </c>
      <c r="H28" s="1">
        <v>7.5</v>
      </c>
      <c r="I28" s="1">
        <v>7.5</v>
      </c>
      <c r="J28" s="1">
        <v>6.25</v>
      </c>
      <c r="K28" s="1">
        <v>6.25</v>
      </c>
      <c r="L28" s="1">
        <v>5.0</v>
      </c>
      <c r="M28" s="5">
        <v>12.5</v>
      </c>
      <c r="N28" s="5">
        <v>15.0</v>
      </c>
      <c r="O28" s="5">
        <v>13.0</v>
      </c>
      <c r="P28" s="5">
        <v>15.0</v>
      </c>
      <c r="Q28" s="5">
        <v>15.0</v>
      </c>
      <c r="R28" s="5">
        <v>15.0</v>
      </c>
      <c r="S28" s="5">
        <v>13.5</v>
      </c>
      <c r="T28" s="5">
        <v>12.5</v>
      </c>
      <c r="U28" s="5">
        <v>12.5</v>
      </c>
      <c r="V28" s="5">
        <v>12.5</v>
      </c>
      <c r="W28" s="4">
        <f t="shared" si="2"/>
        <v>6.575</v>
      </c>
      <c r="X28" s="4">
        <f t="shared" si="3"/>
        <v>13.65</v>
      </c>
      <c r="Y28" s="6">
        <v>6.575</v>
      </c>
      <c r="Z28" s="5">
        <v>13.65</v>
      </c>
      <c r="AA28" s="5" t="b">
        <f t="shared" ref="AA28:AB28" si="32">W28=Y28</f>
        <v>1</v>
      </c>
      <c r="AB28" s="5" t="b">
        <f t="shared" si="32"/>
        <v>1</v>
      </c>
      <c r="AC28" s="6">
        <v>2.5</v>
      </c>
      <c r="AD28" s="6">
        <v>2.5</v>
      </c>
      <c r="AE28" s="6">
        <v>2.0</v>
      </c>
      <c r="AF28" s="6">
        <v>2.5</v>
      </c>
      <c r="AG28" s="6">
        <v>2.25</v>
      </c>
      <c r="AH28" s="6">
        <v>2.5</v>
      </c>
      <c r="AI28" s="6">
        <v>2.0</v>
      </c>
      <c r="AJ28" s="6">
        <v>2.25</v>
      </c>
      <c r="AK28" s="6">
        <v>3.0</v>
      </c>
      <c r="AL28" s="6">
        <v>2.5</v>
      </c>
      <c r="AM28" s="6">
        <f t="shared" si="15"/>
        <v>2.4</v>
      </c>
      <c r="AN28" s="6">
        <v>2.4</v>
      </c>
      <c r="AO28" s="6" t="b">
        <f t="shared" si="6"/>
        <v>1</v>
      </c>
    </row>
    <row r="29">
      <c r="A29" s="2" t="s">
        <v>66</v>
      </c>
      <c r="B29" s="3"/>
      <c r="C29" s="1">
        <v>6.0</v>
      </c>
      <c r="D29" s="1">
        <v>5.0</v>
      </c>
      <c r="E29" s="1">
        <v>5.0</v>
      </c>
      <c r="F29" s="1">
        <v>5.0</v>
      </c>
      <c r="G29" s="1">
        <v>5.0</v>
      </c>
      <c r="H29" s="1">
        <v>5.0</v>
      </c>
      <c r="I29" s="1">
        <v>4.5</v>
      </c>
      <c r="J29" s="1">
        <v>4.75</v>
      </c>
      <c r="K29" s="1">
        <v>3.25</v>
      </c>
      <c r="L29" s="1">
        <v>4.25</v>
      </c>
      <c r="M29" s="1">
        <v>12.5</v>
      </c>
      <c r="N29" s="1">
        <v>12.5</v>
      </c>
      <c r="O29" s="1">
        <v>10.0</v>
      </c>
      <c r="P29" s="1">
        <v>11.5</v>
      </c>
      <c r="Q29" s="1">
        <v>11.5</v>
      </c>
      <c r="R29" s="1">
        <v>11.5</v>
      </c>
      <c r="S29" s="1">
        <v>11.5</v>
      </c>
      <c r="T29" s="1">
        <v>11.0</v>
      </c>
      <c r="U29" s="1">
        <v>10.0</v>
      </c>
      <c r="V29" s="1">
        <v>10.0</v>
      </c>
      <c r="W29" s="4">
        <f t="shared" si="2"/>
        <v>4.775</v>
      </c>
      <c r="X29" s="4">
        <f t="shared" si="3"/>
        <v>11.2</v>
      </c>
      <c r="Y29" s="6">
        <v>4.775</v>
      </c>
      <c r="Z29" s="5">
        <v>11.2</v>
      </c>
      <c r="AA29" s="5" t="b">
        <f t="shared" ref="AA29:AB29" si="33">W29=Y29</f>
        <v>1</v>
      </c>
      <c r="AB29" s="5" t="b">
        <f t="shared" si="33"/>
        <v>1</v>
      </c>
      <c r="AC29" s="6">
        <v>3.75</v>
      </c>
      <c r="AD29" s="6">
        <v>3.5</v>
      </c>
      <c r="AE29" s="6">
        <v>3.75</v>
      </c>
      <c r="AF29" s="6">
        <v>3.5</v>
      </c>
      <c r="AG29" s="6">
        <v>2.5</v>
      </c>
      <c r="AH29" s="6">
        <v>3.75</v>
      </c>
      <c r="AI29" s="6">
        <v>3.75</v>
      </c>
      <c r="AJ29" s="6">
        <v>3.75</v>
      </c>
      <c r="AK29" s="6">
        <v>2.5</v>
      </c>
      <c r="AL29" s="6">
        <v>2.75</v>
      </c>
      <c r="AM29" s="6">
        <f t="shared" si="15"/>
        <v>3.35</v>
      </c>
      <c r="AN29" s="7">
        <v>3.35</v>
      </c>
      <c r="AO29" s="6" t="b">
        <f t="shared" si="6"/>
        <v>1</v>
      </c>
    </row>
    <row r="30">
      <c r="A30" s="2" t="s">
        <v>67</v>
      </c>
      <c r="B30" s="3">
        <v>2.0</v>
      </c>
      <c r="C30" s="1">
        <v>4.5</v>
      </c>
      <c r="D30" s="1">
        <v>5.0</v>
      </c>
      <c r="E30" s="1">
        <v>4.5</v>
      </c>
      <c r="F30" s="1">
        <v>4.0</v>
      </c>
      <c r="G30" s="1">
        <v>4.5</v>
      </c>
      <c r="H30" s="1">
        <v>4.5</v>
      </c>
      <c r="M30" s="1">
        <v>11.0</v>
      </c>
      <c r="N30" s="1">
        <v>11.0</v>
      </c>
      <c r="O30" s="1">
        <v>14.0</v>
      </c>
      <c r="P30" s="1">
        <v>11.0</v>
      </c>
      <c r="Q30" s="1">
        <v>12.0</v>
      </c>
      <c r="R30" s="1">
        <v>10.5</v>
      </c>
      <c r="W30" s="4">
        <f t="shared" si="2"/>
        <v>2.7</v>
      </c>
      <c r="X30" s="4">
        <f t="shared" si="3"/>
        <v>6.95</v>
      </c>
      <c r="Y30" s="5">
        <v>4.5</v>
      </c>
      <c r="Z30" s="5">
        <v>11.58</v>
      </c>
      <c r="AA30" s="5" t="b">
        <f t="shared" ref="AA30:AB30" si="34">W30=Y30</f>
        <v>0</v>
      </c>
      <c r="AB30" s="5" t="b">
        <f t="shared" si="34"/>
        <v>0</v>
      </c>
      <c r="AC30" s="6">
        <v>3.5</v>
      </c>
      <c r="AD30" s="6">
        <v>3.0</v>
      </c>
      <c r="AE30" s="6">
        <v>4.0</v>
      </c>
      <c r="AF30" s="6">
        <v>3.5</v>
      </c>
      <c r="AG30" s="6">
        <v>3.0</v>
      </c>
      <c r="AH30" s="6">
        <v>3.0</v>
      </c>
      <c r="AI30" s="5"/>
      <c r="AJ30" s="5"/>
      <c r="AK30" s="5"/>
      <c r="AL30" s="5"/>
      <c r="AM30" s="6">
        <v>3.33</v>
      </c>
      <c r="AN30" s="5">
        <v>3.33</v>
      </c>
      <c r="AO30" s="6" t="b">
        <f t="shared" si="6"/>
        <v>1</v>
      </c>
    </row>
    <row r="31">
      <c r="A31" s="2" t="s">
        <v>68</v>
      </c>
      <c r="B31" s="3">
        <v>3.0</v>
      </c>
      <c r="C31" s="1">
        <v>6.0</v>
      </c>
      <c r="D31" s="1">
        <v>5.5</v>
      </c>
      <c r="E31" s="1">
        <v>5.5</v>
      </c>
      <c r="F31" s="1">
        <v>6.0</v>
      </c>
      <c r="G31" s="1">
        <v>5.0</v>
      </c>
      <c r="H31" s="1">
        <v>5.5</v>
      </c>
      <c r="I31" s="1">
        <v>5.0</v>
      </c>
      <c r="J31" s="1">
        <v>6.0</v>
      </c>
      <c r="K31" s="1">
        <v>5.0</v>
      </c>
      <c r="L31" s="1">
        <v>6.0</v>
      </c>
      <c r="M31" s="1">
        <v>12.0</v>
      </c>
      <c r="N31" s="1">
        <v>11.5</v>
      </c>
      <c r="O31" s="1">
        <v>13.5</v>
      </c>
      <c r="P31" s="1">
        <v>12.0</v>
      </c>
      <c r="Q31" s="1">
        <v>11.0</v>
      </c>
      <c r="R31" s="1">
        <v>12.0</v>
      </c>
      <c r="S31" s="1">
        <v>12.0</v>
      </c>
      <c r="T31" s="1">
        <v>12.0</v>
      </c>
      <c r="U31" s="1">
        <v>13.0</v>
      </c>
      <c r="V31" s="1">
        <v>13.5</v>
      </c>
      <c r="W31" s="4">
        <f t="shared" si="2"/>
        <v>5.55</v>
      </c>
      <c r="X31" s="4">
        <f t="shared" si="3"/>
        <v>12.25</v>
      </c>
      <c r="Y31" s="5">
        <v>5.55</v>
      </c>
      <c r="Z31" s="5">
        <v>12.25</v>
      </c>
      <c r="AA31" s="5" t="b">
        <f t="shared" ref="AA31:AB31" si="35">W31=Y31</f>
        <v>1</v>
      </c>
      <c r="AB31" s="5" t="b">
        <f t="shared" si="35"/>
        <v>1</v>
      </c>
      <c r="AC31" s="6">
        <v>3.5</v>
      </c>
      <c r="AD31" s="6">
        <v>4.0</v>
      </c>
      <c r="AE31" s="6">
        <v>3.0</v>
      </c>
      <c r="AF31" s="6">
        <v>3.0</v>
      </c>
      <c r="AG31" s="6">
        <v>2.5</v>
      </c>
      <c r="AH31" s="6">
        <v>3.0</v>
      </c>
      <c r="AI31" s="6">
        <v>2.5</v>
      </c>
      <c r="AJ31" s="6">
        <v>3.0</v>
      </c>
      <c r="AK31" s="6">
        <v>3.25</v>
      </c>
      <c r="AL31" s="6">
        <v>3.5</v>
      </c>
      <c r="AM31" s="6">
        <f t="shared" ref="AM31:AM34" si="37">sum(AC31:AL31) / 10</f>
        <v>3.125</v>
      </c>
      <c r="AN31" s="7">
        <v>3.125</v>
      </c>
      <c r="AO31" s="6" t="b">
        <f t="shared" si="6"/>
        <v>1</v>
      </c>
    </row>
    <row r="32">
      <c r="A32" s="2">
        <v>34023.0</v>
      </c>
      <c r="B32" s="3">
        <v>3.0</v>
      </c>
      <c r="C32" s="1">
        <v>5.0</v>
      </c>
      <c r="D32" s="1">
        <v>5.75</v>
      </c>
      <c r="E32" s="1">
        <v>5.5</v>
      </c>
      <c r="F32" s="1">
        <v>6.0</v>
      </c>
      <c r="G32" s="1">
        <v>5.0</v>
      </c>
      <c r="H32" s="1">
        <v>5.5</v>
      </c>
      <c r="I32" s="1">
        <v>5.5</v>
      </c>
      <c r="J32" s="1">
        <v>6.0</v>
      </c>
      <c r="K32" s="1">
        <v>5.0</v>
      </c>
      <c r="L32" s="1">
        <v>6.0</v>
      </c>
      <c r="M32" s="1">
        <v>13.0</v>
      </c>
      <c r="N32" s="1">
        <v>14.0</v>
      </c>
      <c r="O32" s="1">
        <v>14.0</v>
      </c>
      <c r="P32" s="1">
        <v>15.0</v>
      </c>
      <c r="Q32" s="1">
        <v>13.0</v>
      </c>
      <c r="R32" s="1">
        <v>12.0</v>
      </c>
      <c r="S32" s="1">
        <v>12.0</v>
      </c>
      <c r="T32" s="1">
        <v>13.0</v>
      </c>
      <c r="U32" s="1">
        <v>10.0</v>
      </c>
      <c r="V32" s="1">
        <v>12.0</v>
      </c>
      <c r="W32" s="4">
        <f t="shared" si="2"/>
        <v>5.525</v>
      </c>
      <c r="X32" s="4">
        <f t="shared" si="3"/>
        <v>12.8</v>
      </c>
      <c r="Y32" s="5">
        <v>5.525</v>
      </c>
      <c r="Z32" s="6">
        <v>12.8</v>
      </c>
      <c r="AA32" s="5" t="b">
        <f t="shared" ref="AA32:AB32" si="36">W32=Y32</f>
        <v>1</v>
      </c>
      <c r="AB32" s="5" t="b">
        <f t="shared" si="36"/>
        <v>1</v>
      </c>
      <c r="AC32" s="6">
        <v>3.5</v>
      </c>
      <c r="AD32" s="6">
        <v>4.0</v>
      </c>
      <c r="AE32" s="6">
        <v>3.5</v>
      </c>
      <c r="AF32" s="6">
        <v>4.0</v>
      </c>
      <c r="AG32" s="6">
        <v>3.0</v>
      </c>
      <c r="AH32" s="6">
        <v>3.0</v>
      </c>
      <c r="AI32" s="6">
        <v>3.25</v>
      </c>
      <c r="AJ32" s="6">
        <v>3.0</v>
      </c>
      <c r="AK32" s="6">
        <v>4.0</v>
      </c>
      <c r="AL32" s="6">
        <v>4.0</v>
      </c>
      <c r="AM32" s="6">
        <f t="shared" si="37"/>
        <v>3.525</v>
      </c>
      <c r="AN32" s="7">
        <v>3.525</v>
      </c>
      <c r="AO32" s="6" t="b">
        <f t="shared" si="6"/>
        <v>1</v>
      </c>
    </row>
    <row r="33">
      <c r="A33" s="2" t="s">
        <v>69</v>
      </c>
      <c r="B33" s="3">
        <v>3.0</v>
      </c>
      <c r="C33" s="1">
        <v>5.0</v>
      </c>
      <c r="D33" s="1">
        <v>5.75</v>
      </c>
      <c r="E33" s="1">
        <v>5.0</v>
      </c>
      <c r="F33" s="1">
        <v>5.0</v>
      </c>
      <c r="G33" s="1">
        <v>5.5</v>
      </c>
      <c r="H33" s="1">
        <v>5.0</v>
      </c>
      <c r="I33" s="1">
        <v>5.5</v>
      </c>
      <c r="J33" s="1">
        <v>6.0</v>
      </c>
      <c r="K33" s="1">
        <v>6.0</v>
      </c>
      <c r="L33" s="1">
        <v>5.0</v>
      </c>
      <c r="M33" s="1">
        <v>12.0</v>
      </c>
      <c r="N33" s="1">
        <v>13.0</v>
      </c>
      <c r="O33" s="1">
        <v>11.0</v>
      </c>
      <c r="P33" s="1">
        <v>12.0</v>
      </c>
      <c r="Q33" s="1">
        <v>11.5</v>
      </c>
      <c r="R33" s="1">
        <v>13.0</v>
      </c>
      <c r="S33" s="1">
        <v>13.0</v>
      </c>
      <c r="T33" s="1">
        <v>12.0</v>
      </c>
      <c r="U33" s="1">
        <v>12.0</v>
      </c>
      <c r="V33" s="1">
        <v>10.5</v>
      </c>
      <c r="W33" s="4">
        <f t="shared" si="2"/>
        <v>5.375</v>
      </c>
      <c r="X33" s="4">
        <f t="shared" si="3"/>
        <v>12</v>
      </c>
      <c r="Y33" s="5">
        <v>5.375</v>
      </c>
      <c r="Z33" s="6">
        <v>12.0</v>
      </c>
      <c r="AA33" s="5" t="b">
        <f t="shared" ref="AA33:AB33" si="38">W33=Y33</f>
        <v>1</v>
      </c>
      <c r="AB33" s="5" t="b">
        <f t="shared" si="38"/>
        <v>1</v>
      </c>
      <c r="AC33" s="6">
        <v>3.5</v>
      </c>
      <c r="AD33" s="6">
        <v>3.75</v>
      </c>
      <c r="AE33" s="6">
        <v>3.0</v>
      </c>
      <c r="AF33" s="6">
        <v>3.0</v>
      </c>
      <c r="AG33" s="6">
        <v>3.0</v>
      </c>
      <c r="AH33" s="6">
        <v>3.0</v>
      </c>
      <c r="AI33" s="6">
        <v>3.0</v>
      </c>
      <c r="AJ33" s="6">
        <v>3.5</v>
      </c>
      <c r="AK33" s="6">
        <v>3.0</v>
      </c>
      <c r="AL33" s="6">
        <v>3.0</v>
      </c>
      <c r="AM33" s="6">
        <f t="shared" si="37"/>
        <v>3.175</v>
      </c>
      <c r="AN33" s="7">
        <v>3.175</v>
      </c>
      <c r="AO33" s="6" t="b">
        <f t="shared" si="6"/>
        <v>1</v>
      </c>
    </row>
    <row r="34">
      <c r="A34" s="2">
        <v>2.0240811E7</v>
      </c>
      <c r="B34" s="3">
        <v>3.0</v>
      </c>
      <c r="C34" s="1">
        <v>5.0</v>
      </c>
      <c r="D34" s="1">
        <v>5.0</v>
      </c>
      <c r="E34" s="1">
        <v>5.0</v>
      </c>
      <c r="F34" s="1">
        <v>5.0</v>
      </c>
      <c r="G34" s="1">
        <v>5.25</v>
      </c>
      <c r="H34" s="1">
        <v>6.0</v>
      </c>
      <c r="I34" s="1">
        <v>5.0</v>
      </c>
      <c r="J34" s="1">
        <v>5.5</v>
      </c>
      <c r="K34" s="1">
        <v>5.0</v>
      </c>
      <c r="L34" s="1">
        <v>5.25</v>
      </c>
      <c r="M34" s="5">
        <v>10.0</v>
      </c>
      <c r="N34" s="5">
        <v>12.0</v>
      </c>
      <c r="O34" s="5">
        <v>13.0</v>
      </c>
      <c r="P34" s="5">
        <v>15.0</v>
      </c>
      <c r="Q34" s="5">
        <v>14.0</v>
      </c>
      <c r="R34" s="5">
        <v>13.5</v>
      </c>
      <c r="S34" s="5">
        <v>13.0</v>
      </c>
      <c r="T34" s="5">
        <v>13.5</v>
      </c>
      <c r="U34" s="5">
        <v>13.0</v>
      </c>
      <c r="V34" s="5">
        <v>13.0</v>
      </c>
      <c r="W34" s="4">
        <f t="shared" si="2"/>
        <v>5.2</v>
      </c>
      <c r="X34" s="4">
        <f t="shared" si="3"/>
        <v>13</v>
      </c>
      <c r="Y34" s="5">
        <v>5.2</v>
      </c>
      <c r="Z34" s="5">
        <v>13.0</v>
      </c>
      <c r="AA34" s="5" t="b">
        <f t="shared" ref="AA34:AB34" si="39">W34=Y34</f>
        <v>1</v>
      </c>
      <c r="AB34" s="5" t="b">
        <f t="shared" si="39"/>
        <v>1</v>
      </c>
      <c r="AC34" s="6">
        <v>3.0</v>
      </c>
      <c r="AD34" s="6">
        <v>3.0</v>
      </c>
      <c r="AE34" s="6">
        <v>3.0</v>
      </c>
      <c r="AF34" s="6">
        <v>4.5</v>
      </c>
      <c r="AG34" s="6">
        <v>4.5</v>
      </c>
      <c r="AH34" s="6">
        <v>3.0</v>
      </c>
      <c r="AI34" s="6">
        <v>3.0</v>
      </c>
      <c r="AJ34" s="6">
        <v>4.5</v>
      </c>
      <c r="AK34" s="6">
        <v>4.0</v>
      </c>
      <c r="AL34" s="6">
        <v>3.75</v>
      </c>
      <c r="AM34" s="6">
        <f t="shared" si="37"/>
        <v>3.625</v>
      </c>
      <c r="AN34" s="7">
        <v>3.625</v>
      </c>
      <c r="AO34" s="6" t="b">
        <f t="shared" si="6"/>
        <v>1</v>
      </c>
    </row>
    <row r="37">
      <c r="B37" s="3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>
      <c r="B38" s="3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>
      <c r="B39" s="3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>
      <c r="B40" s="3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>
      <c r="B41" s="3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>
      <c r="B42" s="3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>
      <c r="B43" s="3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>
      <c r="B44" s="3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>
      <c r="B45" s="3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>
      <c r="B46" s="3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>
      <c r="B47" s="3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>
      <c r="B48" s="3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>
      <c r="B49" s="3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>
      <c r="B50" s="3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>
      <c r="B51" s="3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>
      <c r="B52" s="3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>
      <c r="B53" s="3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>
      <c r="B54" s="3"/>
      <c r="C54" s="9"/>
      <c r="D54" s="9"/>
      <c r="E54" s="9"/>
      <c r="F54" s="9"/>
      <c r="G54" s="9"/>
      <c r="H54" s="9"/>
      <c r="I54" s="9"/>
      <c r="J54" s="9"/>
      <c r="K54" s="9"/>
      <c r="L54" s="9"/>
    </row>
    <row r="55">
      <c r="B55" s="3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>
      <c r="B56" s="3"/>
      <c r="C56" s="9"/>
      <c r="D56" s="9"/>
      <c r="E56" s="9"/>
      <c r="F56" s="9"/>
      <c r="G56" s="9"/>
      <c r="H56" s="9"/>
      <c r="I56" s="9"/>
      <c r="J56" s="9"/>
      <c r="K56" s="9"/>
      <c r="L56" s="9"/>
    </row>
    <row r="57">
      <c r="B57" s="3"/>
      <c r="C57" s="9"/>
      <c r="D57" s="9"/>
      <c r="E57" s="9"/>
      <c r="F57" s="9"/>
      <c r="G57" s="9"/>
      <c r="H57" s="9"/>
      <c r="I57" s="9"/>
      <c r="J57" s="9"/>
      <c r="K57" s="9"/>
      <c r="L57" s="9"/>
    </row>
    <row r="58">
      <c r="B58" s="3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>
      <c r="B59" s="3"/>
      <c r="C59" s="9"/>
      <c r="D59" s="9"/>
      <c r="E59" s="9"/>
      <c r="F59" s="9"/>
      <c r="G59" s="9"/>
      <c r="H59" s="9"/>
      <c r="I59" s="9"/>
      <c r="J59" s="9"/>
      <c r="K59" s="9"/>
      <c r="L59" s="9"/>
    </row>
    <row r="60">
      <c r="B60" s="3"/>
      <c r="C60" s="9"/>
      <c r="D60" s="9"/>
      <c r="E60" s="9"/>
      <c r="F60" s="9"/>
      <c r="G60" s="9"/>
      <c r="H60" s="9"/>
      <c r="I60" s="9"/>
      <c r="J60" s="9"/>
      <c r="K60" s="9"/>
      <c r="L60" s="9"/>
    </row>
    <row r="61">
      <c r="B61" s="3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>
      <c r="B62" s="3"/>
      <c r="C62" s="9"/>
      <c r="D62" s="9"/>
      <c r="E62" s="9"/>
      <c r="F62" s="9"/>
      <c r="G62" s="9"/>
      <c r="H62" s="9"/>
      <c r="I62" s="9"/>
      <c r="J62" s="9"/>
      <c r="K62" s="9"/>
      <c r="L62" s="9"/>
    </row>
    <row r="63">
      <c r="B63" s="3"/>
      <c r="C63" s="9"/>
      <c r="D63" s="9"/>
      <c r="E63" s="9"/>
      <c r="F63" s="9"/>
      <c r="G63" s="9"/>
      <c r="H63" s="9"/>
      <c r="I63" s="9"/>
      <c r="J63" s="9"/>
      <c r="K63" s="9"/>
      <c r="L63" s="9"/>
    </row>
    <row r="64">
      <c r="B64" s="3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>
      <c r="B65" s="3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>
      <c r="B66" s="3"/>
      <c r="C66" s="9"/>
      <c r="D66" s="9"/>
      <c r="E66" s="9"/>
      <c r="F66" s="9"/>
      <c r="G66" s="9"/>
      <c r="H66" s="9"/>
      <c r="I66" s="9"/>
      <c r="J66" s="9"/>
      <c r="K66" s="9"/>
      <c r="L66" s="9"/>
    </row>
    <row r="67">
      <c r="B67" s="3"/>
      <c r="C67" s="9"/>
      <c r="D67" s="9"/>
      <c r="E67" s="9"/>
      <c r="F67" s="9"/>
      <c r="G67" s="9"/>
      <c r="H67" s="9"/>
      <c r="I67" s="9"/>
      <c r="J67" s="9"/>
      <c r="K67" s="9"/>
      <c r="L67" s="9"/>
    </row>
    <row r="68">
      <c r="B68" s="3"/>
      <c r="C68" s="9"/>
      <c r="D68" s="9"/>
      <c r="E68" s="9"/>
      <c r="F68" s="9"/>
      <c r="G68" s="9"/>
      <c r="H68" s="9"/>
      <c r="I68" s="9"/>
      <c r="J68" s="9"/>
      <c r="K68" s="9"/>
      <c r="L68" s="9"/>
    </row>
    <row r="69">
      <c r="B69" s="3"/>
      <c r="C69" s="9"/>
      <c r="D69" s="9"/>
      <c r="E69" s="9"/>
      <c r="F69" s="9"/>
      <c r="G69" s="9"/>
      <c r="H69" s="9"/>
      <c r="I69" s="9"/>
      <c r="J69" s="9"/>
      <c r="K69" s="9"/>
      <c r="L69" s="9"/>
    </row>
  </sheetData>
  <drawing r:id="rId2"/>
  <legacyDrawing r:id="rId3"/>
</worksheet>
</file>